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fee\Desktop\BusinessAnalysis\Lectures\"/>
    </mc:Choice>
  </mc:AlternateContent>
  <xr:revisionPtr revIDLastSave="0" documentId="13_ncr:1_{C11C5A42-E15D-4C23-8DD3-8C596BDA9CE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tail Sales Data" sheetId="1" r:id="rId1"/>
  </sheets>
  <calcPr calcId="181029"/>
</workbook>
</file>

<file path=xl/calcChain.xml><?xml version="1.0" encoding="utf-8"?>
<calcChain xmlns="http://schemas.openxmlformats.org/spreadsheetml/2006/main">
  <c r="N5" i="1" l="1"/>
</calcChain>
</file>

<file path=xl/sharedStrings.xml><?xml version="1.0" encoding="utf-8"?>
<sst xmlns="http://schemas.openxmlformats.org/spreadsheetml/2006/main" count="819" uniqueCount="358">
  <si>
    <t>Order ID</t>
  </si>
  <si>
    <t>Customer Name</t>
  </si>
  <si>
    <t>Product</t>
  </si>
  <si>
    <t>Category</t>
  </si>
  <si>
    <t>Quantity</t>
  </si>
  <si>
    <t>Unit Price</t>
  </si>
  <si>
    <t>Total Amount</t>
  </si>
  <si>
    <t>Discount (%)</t>
  </si>
  <si>
    <t>Region</t>
  </si>
  <si>
    <t>Store</t>
  </si>
  <si>
    <t>Order Date</t>
  </si>
  <si>
    <t>Payment Method</t>
  </si>
  <si>
    <t>ORD-000001</t>
  </si>
  <si>
    <t>Robert Taylor</t>
  </si>
  <si>
    <t>Smartphone</t>
  </si>
  <si>
    <t>Electronics</t>
  </si>
  <si>
    <t>North</t>
  </si>
  <si>
    <t>Store-01</t>
  </si>
  <si>
    <t>04/27/2025</t>
  </si>
  <si>
    <t>Credit Card</t>
  </si>
  <si>
    <t>ORD-000002</t>
  </si>
  <si>
    <t>Daniel Harris</t>
  </si>
  <si>
    <t>Surge Protector</t>
  </si>
  <si>
    <t>Accessories</t>
  </si>
  <si>
    <t>East</t>
  </si>
  <si>
    <t>Store-11</t>
  </si>
  <si>
    <t>12/09/2024</t>
  </si>
  <si>
    <t>ORD-000003</t>
  </si>
  <si>
    <t>Daniel Walker</t>
  </si>
  <si>
    <t>Backpack</t>
  </si>
  <si>
    <t>Store-12</t>
  </si>
  <si>
    <t>04/22/2024</t>
  </si>
  <si>
    <t>Check</t>
  </si>
  <si>
    <t>ORD-000004</t>
  </si>
  <si>
    <t>Michael Harris</t>
  </si>
  <si>
    <t>Headphones</t>
  </si>
  <si>
    <t>South</t>
  </si>
  <si>
    <t>Store-10</t>
  </si>
  <si>
    <t>07/13/2024</t>
  </si>
  <si>
    <t>ORD-000005</t>
  </si>
  <si>
    <t>Charles Thompson</t>
  </si>
  <si>
    <t>Store-08</t>
  </si>
  <si>
    <t>01/03/2025</t>
  </si>
  <si>
    <t>ORD-000006</t>
  </si>
  <si>
    <t>Jessica Martinez</t>
  </si>
  <si>
    <t>Debit Card</t>
  </si>
  <si>
    <t>ORD-000007</t>
  </si>
  <si>
    <t>Margaret King</t>
  </si>
  <si>
    <t>USB Hub</t>
  </si>
  <si>
    <t>Store-02</t>
  </si>
  <si>
    <t>01/29/2025</t>
  </si>
  <si>
    <t>Wire Transfer</t>
  </si>
  <si>
    <t>ORD-000008</t>
  </si>
  <si>
    <t>David King</t>
  </si>
  <si>
    <t>Tablet</t>
  </si>
  <si>
    <t>Store-03</t>
  </si>
  <si>
    <t>01/16/2026</t>
  </si>
  <si>
    <t>Cash</t>
  </si>
  <si>
    <t>ORD-000009</t>
  </si>
  <si>
    <t>Robert Nguyen</t>
  </si>
  <si>
    <t>Monitor</t>
  </si>
  <si>
    <t>West</t>
  </si>
  <si>
    <t>Store-19</t>
  </si>
  <si>
    <t>02/19/2025</t>
  </si>
  <si>
    <t>ORD-000010</t>
  </si>
  <si>
    <t>Margaret Ramirez</t>
  </si>
  <si>
    <t>Printer</t>
  </si>
  <si>
    <t>Store-15</t>
  </si>
  <si>
    <t>07/15/2024</t>
  </si>
  <si>
    <t>ORD-000011</t>
  </si>
  <si>
    <t>Anthony Rodriguez</t>
  </si>
  <si>
    <t>Keyboard</t>
  </si>
  <si>
    <t>Peripherals</t>
  </si>
  <si>
    <t>Store-13</t>
  </si>
  <si>
    <t>04/01/2025</t>
  </si>
  <si>
    <t>ORD-000012</t>
  </si>
  <si>
    <t>Robert Garcia</t>
  </si>
  <si>
    <t>Laptop</t>
  </si>
  <si>
    <t>02/22/2026</t>
  </si>
  <si>
    <t>ORD-000013</t>
  </si>
  <si>
    <t>Mary Rodriguez</t>
  </si>
  <si>
    <t>Store-17</t>
  </si>
  <si>
    <t>10/10/2024</t>
  </si>
  <si>
    <t>ORD-000014</t>
  </si>
  <si>
    <t>Mark Lopez</t>
  </si>
  <si>
    <t>Cable Kit</t>
  </si>
  <si>
    <t>09/29/2025</t>
  </si>
  <si>
    <t>ORD-000015</t>
  </si>
  <si>
    <t>Mark White</t>
  </si>
  <si>
    <t>Standing Desk</t>
  </si>
  <si>
    <t>Furniture</t>
  </si>
  <si>
    <t>05/08/2024</t>
  </si>
  <si>
    <t>ORD-000016</t>
  </si>
  <si>
    <t>Karen Jackson</t>
  </si>
  <si>
    <t>Desk Chair</t>
  </si>
  <si>
    <t>02/13/2025</t>
  </si>
  <si>
    <t>ORD-000017</t>
  </si>
  <si>
    <t>Betty Clark</t>
  </si>
  <si>
    <t>01/15/2026</t>
  </si>
  <si>
    <t>ORD-000018</t>
  </si>
  <si>
    <t>Donna Allen</t>
  </si>
  <si>
    <t>12/07/2024</t>
  </si>
  <si>
    <t>ORD-000019</t>
  </si>
  <si>
    <t>Margaret Davis</t>
  </si>
  <si>
    <t>04/08/2024</t>
  </si>
  <si>
    <t>ORD-000020</t>
  </si>
  <si>
    <t>Barbara Jackson</t>
  </si>
  <si>
    <t>Store-18</t>
  </si>
  <si>
    <t>11/30/2025</t>
  </si>
  <si>
    <t>ORD-000021</t>
  </si>
  <si>
    <t>Matthew Moore</t>
  </si>
  <si>
    <t>05/03/2024</t>
  </si>
  <si>
    <t>ORD-000022</t>
  </si>
  <si>
    <t>Sandra Ramirez</t>
  </si>
  <si>
    <t>Store-09</t>
  </si>
  <si>
    <t>04/14/2024</t>
  </si>
  <si>
    <t>ORD-000023</t>
  </si>
  <si>
    <t>08/19/2024</t>
  </si>
  <si>
    <t>ORD-000024</t>
  </si>
  <si>
    <t>Betty Martinez</t>
  </si>
  <si>
    <t>Store-04</t>
  </si>
  <si>
    <t>09/24/2024</t>
  </si>
  <si>
    <t>ORD-000025</t>
  </si>
  <si>
    <t>Paul Harris</t>
  </si>
  <si>
    <t>09/12/2024</t>
  </si>
  <si>
    <t>ORD-000026</t>
  </si>
  <si>
    <t>Lisa Lopez</t>
  </si>
  <si>
    <t>Mouse</t>
  </si>
  <si>
    <t>Store-16</t>
  </si>
  <si>
    <t>05/03/2025</t>
  </si>
  <si>
    <t>ORD-000027</t>
  </si>
  <si>
    <t>Susan Wright</t>
  </si>
  <si>
    <t>ORD-000028</t>
  </si>
  <si>
    <t>David Harris</t>
  </si>
  <si>
    <t>03/23/2025</t>
  </si>
  <si>
    <t>ORD-000029</t>
  </si>
  <si>
    <t>James Jones</t>
  </si>
  <si>
    <t>Store-05</t>
  </si>
  <si>
    <t>12/10/2025</t>
  </si>
  <si>
    <t>ORD-000030</t>
  </si>
  <si>
    <t>Karen Perez</t>
  </si>
  <si>
    <t>12/13/2025</t>
  </si>
  <si>
    <t>ORD-000031</t>
  </si>
  <si>
    <t>Robert Johnson</t>
  </si>
  <si>
    <t>09/09/2024</t>
  </si>
  <si>
    <t>ORD-000032</t>
  </si>
  <si>
    <t>Sandra Lopez</t>
  </si>
  <si>
    <t>10/17/2024</t>
  </si>
  <si>
    <t>ORD-000033</t>
  </si>
  <si>
    <t>William Rodriguez</t>
  </si>
  <si>
    <t>04/06/2025</t>
  </si>
  <si>
    <t>ORD-000034</t>
  </si>
  <si>
    <t>Anthony Robinson</t>
  </si>
  <si>
    <t>05/09/2025</t>
  </si>
  <si>
    <t>ORD-000035</t>
  </si>
  <si>
    <t>Mary Martin</t>
  </si>
  <si>
    <t>04/03/2025</t>
  </si>
  <si>
    <t>ORD-000036</t>
  </si>
  <si>
    <t>Margaret Scott</t>
  </si>
  <si>
    <t>07/06/2025</t>
  </si>
  <si>
    <t>ORD-000037</t>
  </si>
  <si>
    <t>Nancy Lewis</t>
  </si>
  <si>
    <t>02/07/2026</t>
  </si>
  <si>
    <t>ORD-000038</t>
  </si>
  <si>
    <t>Karen Lopez</t>
  </si>
  <si>
    <t>11/14/2024</t>
  </si>
  <si>
    <t>ORD-000039</t>
  </si>
  <si>
    <t>Donna Gonzalez</t>
  </si>
  <si>
    <t>Store-06</t>
  </si>
  <si>
    <t>12/16/2024</t>
  </si>
  <si>
    <t>ORD-000040</t>
  </si>
  <si>
    <t>Jennifer Garcia</t>
  </si>
  <si>
    <t>11/25/2025</t>
  </si>
  <si>
    <t>ORD-000041</t>
  </si>
  <si>
    <t>Andrew Hill</t>
  </si>
  <si>
    <t>ORD-000042</t>
  </si>
  <si>
    <t>Dorothy Lewis</t>
  </si>
  <si>
    <t>07/01/2024</t>
  </si>
  <si>
    <t>ORD-000043</t>
  </si>
  <si>
    <t>Linda King</t>
  </si>
  <si>
    <t>11/10/2024</t>
  </si>
  <si>
    <t>ORD-000044</t>
  </si>
  <si>
    <t>Patricia White</t>
  </si>
  <si>
    <t>07/04/2024</t>
  </si>
  <si>
    <t>ORD-000045</t>
  </si>
  <si>
    <t>Jessica Anderson</t>
  </si>
  <si>
    <t>06/21/2024</t>
  </si>
  <si>
    <t>ORD-000046</t>
  </si>
  <si>
    <t>Nancy Martin</t>
  </si>
  <si>
    <t>01/25/2026</t>
  </si>
  <si>
    <t>ORD-000047</t>
  </si>
  <si>
    <t>James Clark</t>
  </si>
  <si>
    <t>Store-14</t>
  </si>
  <si>
    <t>ORD-000048</t>
  </si>
  <si>
    <t>Dorothy Williams</t>
  </si>
  <si>
    <t>08/03/2024</t>
  </si>
  <si>
    <t>ORD-000049</t>
  </si>
  <si>
    <t>Robert Thompson</t>
  </si>
  <si>
    <t>10/03/2024</t>
  </si>
  <si>
    <t>ORD-000050</t>
  </si>
  <si>
    <t>Barbara Thomas</t>
  </si>
  <si>
    <t>05/28/2024</t>
  </si>
  <si>
    <t>ORD-000051</t>
  </si>
  <si>
    <t>Sandra Torres</t>
  </si>
  <si>
    <t>02/14/2025</t>
  </si>
  <si>
    <t>ORD-000052</t>
  </si>
  <si>
    <t>Margaret Walker</t>
  </si>
  <si>
    <t>08/27/2025</t>
  </si>
  <si>
    <t>ORD-000053</t>
  </si>
  <si>
    <t>Barbara Lopez</t>
  </si>
  <si>
    <t>ORD-000054</t>
  </si>
  <si>
    <t>Ashley Perez</t>
  </si>
  <si>
    <t>12/20/2025</t>
  </si>
  <si>
    <t>ORD-000055</t>
  </si>
  <si>
    <t>Michael Davis</t>
  </si>
  <si>
    <t>10/01/2025</t>
  </si>
  <si>
    <t>ORD-000056</t>
  </si>
  <si>
    <t>Elizabeth Walker</t>
  </si>
  <si>
    <t>12/15/2024</t>
  </si>
  <si>
    <t>ORD-000057</t>
  </si>
  <si>
    <t>Karen Lee</t>
  </si>
  <si>
    <t>07/23/2024</t>
  </si>
  <si>
    <t>ORD-000058</t>
  </si>
  <si>
    <t>Mark Taylor</t>
  </si>
  <si>
    <t>10/24/2025</t>
  </si>
  <si>
    <t>ORD-000059</t>
  </si>
  <si>
    <t>Ashley Miller</t>
  </si>
  <si>
    <t>09/21/2024</t>
  </si>
  <si>
    <t>ORD-000060</t>
  </si>
  <si>
    <t>Joseph Smith</t>
  </si>
  <si>
    <t>12/02/2025</t>
  </si>
  <si>
    <t>ORD-000061</t>
  </si>
  <si>
    <t>Mary Wilson</t>
  </si>
  <si>
    <t>06/26/2025</t>
  </si>
  <si>
    <t>ORD-000062</t>
  </si>
  <si>
    <t>Joshua Lee</t>
  </si>
  <si>
    <t>09/30/2025</t>
  </si>
  <si>
    <t>ORD-000063</t>
  </si>
  <si>
    <t>Donna Anderson</t>
  </si>
  <si>
    <t>Store-07</t>
  </si>
  <si>
    <t>03/16/2025</t>
  </si>
  <si>
    <t>ORD-000064</t>
  </si>
  <si>
    <t>Kimberly Anderson</t>
  </si>
  <si>
    <t>09/20/2024</t>
  </si>
  <si>
    <t>ORD-000065</t>
  </si>
  <si>
    <t>John Martin</t>
  </si>
  <si>
    <t>Webcam</t>
  </si>
  <si>
    <t>06/05/2025</t>
  </si>
  <si>
    <t>ORD-000066</t>
  </si>
  <si>
    <t>Thomas Harris</t>
  </si>
  <si>
    <t>11/03/2024</t>
  </si>
  <si>
    <t>ORD-000067</t>
  </si>
  <si>
    <t>Emily Taylor</t>
  </si>
  <si>
    <t>05/17/2024</t>
  </si>
  <si>
    <t>ORD-000068</t>
  </si>
  <si>
    <t>Jessica Perez</t>
  </si>
  <si>
    <t>11/05/2024</t>
  </si>
  <si>
    <t>ORD-000069</t>
  </si>
  <si>
    <t>Andrew Miller</t>
  </si>
  <si>
    <t>07/30/2024</t>
  </si>
  <si>
    <t>ORD-000070</t>
  </si>
  <si>
    <t>Daniel Scott</t>
  </si>
  <si>
    <t>10/04/2025</t>
  </si>
  <si>
    <t>ORD-000071</t>
  </si>
  <si>
    <t>Ashley Williams</t>
  </si>
  <si>
    <t>05/22/2025</t>
  </si>
  <si>
    <t>ORD-000072</t>
  </si>
  <si>
    <t>Margaret Smith</t>
  </si>
  <si>
    <t>06/20/2024</t>
  </si>
  <si>
    <t>ORD-000073</t>
  </si>
  <si>
    <t>Daniel Smith</t>
  </si>
  <si>
    <t>04/16/2025</t>
  </si>
  <si>
    <t>ORD-000074</t>
  </si>
  <si>
    <t>Charles Wilson</t>
  </si>
  <si>
    <t>11/29/2025</t>
  </si>
  <si>
    <t>ORD-000075</t>
  </si>
  <si>
    <t>Joseph Scott</t>
  </si>
  <si>
    <t>04/23/2025</t>
  </si>
  <si>
    <t>ORD-000076</t>
  </si>
  <si>
    <t>Karen Hill</t>
  </si>
  <si>
    <t>04/02/2024</t>
  </si>
  <si>
    <t>ORD-000077</t>
  </si>
  <si>
    <t>Linda Johnson</t>
  </si>
  <si>
    <t>05/10/2024</t>
  </si>
  <si>
    <t>ORD-000078</t>
  </si>
  <si>
    <t>John Nguyen</t>
  </si>
  <si>
    <t>11/12/2025</t>
  </si>
  <si>
    <t>ORD-000079</t>
  </si>
  <si>
    <t>Susan White</t>
  </si>
  <si>
    <t>ORD-000080</t>
  </si>
  <si>
    <t>Donald Brown</t>
  </si>
  <si>
    <t>01/11/2026</t>
  </si>
  <si>
    <t>ORD-000081</t>
  </si>
  <si>
    <t>Sarah Martinez</t>
  </si>
  <si>
    <t>05/11/2024</t>
  </si>
  <si>
    <t>ORD-000082</t>
  </si>
  <si>
    <t>Lisa Clark</t>
  </si>
  <si>
    <t>06/29/2025</t>
  </si>
  <si>
    <t>ORD-000083</t>
  </si>
  <si>
    <t>Nancy Smith</t>
  </si>
  <si>
    <t>03/11/2025</t>
  </si>
  <si>
    <t>ORD-000084</t>
  </si>
  <si>
    <t>Sandra Thomas</t>
  </si>
  <si>
    <t>01/17/2025</t>
  </si>
  <si>
    <t>ORD-000085</t>
  </si>
  <si>
    <t>Donna Miller</t>
  </si>
  <si>
    <t>01/26/2025</t>
  </si>
  <si>
    <t>ORD-000086</t>
  </si>
  <si>
    <t>Elizabeth Young</t>
  </si>
  <si>
    <t>08/01/2024</t>
  </si>
  <si>
    <t>ORD-000087</t>
  </si>
  <si>
    <t>Emily Nguyen</t>
  </si>
  <si>
    <t>02/26/2025</t>
  </si>
  <si>
    <t>ORD-000088</t>
  </si>
  <si>
    <t>Linda Jackson</t>
  </si>
  <si>
    <t>04/10/2025</t>
  </si>
  <si>
    <t>ORD-000089</t>
  </si>
  <si>
    <t>Charles White</t>
  </si>
  <si>
    <t>04/19/2025</t>
  </si>
  <si>
    <t>ORD-000090</t>
  </si>
  <si>
    <t>William Williams</t>
  </si>
  <si>
    <t>ORD-000091</t>
  </si>
  <si>
    <t>Michael Brown</t>
  </si>
  <si>
    <t>07/12/2025</t>
  </si>
  <si>
    <t>ORD-000092</t>
  </si>
  <si>
    <t>David Thompson</t>
  </si>
  <si>
    <t>06/23/2025</t>
  </si>
  <si>
    <t>ORD-000093</t>
  </si>
  <si>
    <t>Jennifer Perez</t>
  </si>
  <si>
    <t>09/22/2025</t>
  </si>
  <si>
    <t>ORD-000094</t>
  </si>
  <si>
    <t>Margaret Garcia</t>
  </si>
  <si>
    <t>Store-20</t>
  </si>
  <si>
    <t>02/08/2025</t>
  </si>
  <si>
    <t>ORD-000095</t>
  </si>
  <si>
    <t>Patricia Hill</t>
  </si>
  <si>
    <t>08/25/2025</t>
  </si>
  <si>
    <t>ORD-000096</t>
  </si>
  <si>
    <t>Donald Garcia</t>
  </si>
  <si>
    <t>05/02/2024</t>
  </si>
  <si>
    <t>ORD-000097</t>
  </si>
  <si>
    <t>Andrew Walker</t>
  </si>
  <si>
    <t>12/26/2025</t>
  </si>
  <si>
    <t>ORD-000098</t>
  </si>
  <si>
    <t>Christopher Lewis</t>
  </si>
  <si>
    <t>04/09/2025</t>
  </si>
  <si>
    <t>ORD-000099</t>
  </si>
  <si>
    <t>Kimberly Lee</t>
  </si>
  <si>
    <t>ORD-000100</t>
  </si>
  <si>
    <t>Christopher Moore</t>
  </si>
  <si>
    <t>08/05/2024</t>
  </si>
  <si>
    <t>SAMPLE RETAIL DATA</t>
  </si>
  <si>
    <t>Source for Data Generation: TrumpExcel; available at https://trumpexcel.com/excel-sample-data/?_thumbnail_id=46825#Create-Your-Own-Sample-Dataset-in-Excel</t>
  </si>
  <si>
    <t>COUNTIF</t>
  </si>
  <si>
    <t>Common Excel Functions</t>
  </si>
  <si>
    <t>(Used below to count the times "North" appears in the column titled Region)</t>
  </si>
  <si>
    <t>Select the data with the last cell blank and choose Autosum under the "Home" tab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</si>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</sst>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/>
    <xf numFmtId="0" fontId="2" fillId="3" borderId="0" xfId="0" applyFont="1" applyFill="1"/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3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tabSelected="1" zoomScale="90" zoomScaleNormal="90" workbookViewId="0">
      <selection activeCell="L10" sqref="L10"/>
    </sheetView>
  </sheetViews>
  <sheetFormatPr defaultRowHeight="15.6" x14ac:dyDescent="0.6"/>
  <cols>
    <col min="1" max="1" width="12.84765625" style="2" customWidth="1"/>
    <col min="2" max="2" width="19.84765625" style="2" customWidth="1"/>
    <col min="3" max="3" width="17.84765625" style="2" customWidth="1"/>
    <col min="4" max="4" width="13.84765625" style="2" customWidth="1"/>
    <col min="5" max="5" width="10.84765625" style="7" customWidth="1"/>
    <col min="6" max="6" width="12.84765625" style="7" customWidth="1"/>
    <col min="7" max="8" width="14.84765625" style="7" customWidth="1"/>
    <col min="9" max="9" width="8.84765625" style="2" customWidth="1"/>
    <col min="10" max="10" width="10.84765625" style="2" customWidth="1"/>
    <col min="11" max="11" width="12.84765625" style="2" customWidth="1"/>
    <col min="12" max="12" width="16.84765625" style="2" customWidth="1"/>
    <col min="13" max="13" width="8.796875" style="1" customWidth="1"/>
    <col min="14" max="17" width="8.796875" style="1"/>
  </cols>
  <sheetData>
    <row r="1" spans="1:21" ht="20.399999999999999" x14ac:dyDescent="0.75">
      <c r="A1" s="15" t="s">
        <v>351</v>
      </c>
      <c r="B1" s="3"/>
      <c r="C1" s="3"/>
      <c r="D1" s="3"/>
      <c r="E1" s="5"/>
      <c r="F1" s="5"/>
      <c r="G1" s="5"/>
      <c r="H1" s="5"/>
      <c r="I1" s="3"/>
      <c r="J1" s="3"/>
      <c r="K1" s="3"/>
      <c r="L1" s="3"/>
      <c r="M1" s="11"/>
      <c r="N1" s="11"/>
      <c r="O1" s="11"/>
      <c r="P1" s="11"/>
      <c r="Q1" s="11"/>
      <c r="R1" s="12"/>
      <c r="S1" s="12"/>
      <c r="T1" s="12"/>
      <c r="U1" s="12"/>
    </row>
    <row r="2" spans="1:21" x14ac:dyDescent="0.6">
      <c r="A2" s="4" t="s">
        <v>352</v>
      </c>
      <c r="B2" s="4"/>
      <c r="C2" s="4"/>
      <c r="D2" s="4"/>
      <c r="E2" s="6"/>
      <c r="F2" s="6"/>
      <c r="G2" s="6"/>
      <c r="H2" s="6"/>
      <c r="I2" s="4"/>
      <c r="J2" s="4"/>
      <c r="K2" s="4"/>
      <c r="L2" s="4"/>
      <c r="M2" s="11"/>
      <c r="N2" s="11"/>
      <c r="O2" s="11"/>
      <c r="P2" s="11"/>
      <c r="Q2" s="11"/>
      <c r="R2" s="12"/>
      <c r="S2" s="12"/>
      <c r="T2" s="12"/>
      <c r="U2" s="12"/>
    </row>
    <row r="3" spans="1:21" s="9" customFormat="1" ht="24.6" customHeight="1" x14ac:dyDescent="0.6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13"/>
      <c r="N3" s="13" t="s">
        <v>354</v>
      </c>
      <c r="O3" s="13"/>
      <c r="P3" s="13"/>
      <c r="Q3" s="13"/>
      <c r="R3" s="14"/>
      <c r="S3" s="14"/>
      <c r="T3" s="14"/>
      <c r="U3" s="14"/>
    </row>
    <row r="4" spans="1:21" x14ac:dyDescent="0.6">
      <c r="A4" s="2" t="s">
        <v>12</v>
      </c>
      <c r="B4" s="2" t="s">
        <v>13</v>
      </c>
      <c r="C4" s="2" t="s">
        <v>14</v>
      </c>
      <c r="D4" s="2" t="s">
        <v>15</v>
      </c>
      <c r="E4" s="7">
        <v>35</v>
      </c>
      <c r="F4" s="7">
        <v>820.27</v>
      </c>
      <c r="G4" s="7">
        <v>28709.45</v>
      </c>
      <c r="H4" s="7">
        <v>0</v>
      </c>
      <c r="I4" s="2" t="s">
        <v>16</v>
      </c>
      <c r="J4" s="2" t="s">
        <v>17</v>
      </c>
      <c r="K4" s="2" t="s">
        <v>18</v>
      </c>
      <c r="L4" s="2" t="s">
        <v>19</v>
      </c>
      <c r="M4" s="10">
        <v>1</v>
      </c>
      <c r="N4" s="1" t="s">
        <v>353</v>
      </c>
      <c r="O4" s="1" t="s">
        <v>355</v>
      </c>
    </row>
    <row r="5" spans="1:21" x14ac:dyDescent="0.6">
      <c r="A5" s="2" t="s">
        <v>20</v>
      </c>
      <c r="B5" s="2" t="s">
        <v>21</v>
      </c>
      <c r="C5" s="2" t="s">
        <v>22</v>
      </c>
      <c r="D5" s="2" t="s">
        <v>23</v>
      </c>
      <c r="E5" s="7">
        <v>9</v>
      </c>
      <c r="F5" s="7">
        <v>34.17</v>
      </c>
      <c r="G5" s="7">
        <v>307.52999999999997</v>
      </c>
      <c r="H5" s="7">
        <v>0</v>
      </c>
      <c r="I5" s="2" t="s">
        <v>24</v>
      </c>
      <c r="J5" s="2" t="s">
        <v>25</v>
      </c>
      <c r="K5" s="2" t="s">
        <v>26</v>
      </c>
      <c r="L5" s="2" t="s">
        <v>19</v>
      </c>
      <c r="M5" s="10"/>
      <c r="N5" s="16">
        <f>COUNTIF(I4:I103,"North")</f>
        <v>34</v>
      </c>
    </row>
    <row r="6" spans="1:21" x14ac:dyDescent="0.6">
      <c r="A6" s="2" t="s">
        <v>27</v>
      </c>
      <c r="B6" s="2" t="s">
        <v>28</v>
      </c>
      <c r="C6" s="2" t="s">
        <v>29</v>
      </c>
      <c r="D6" s="2" t="s">
        <v>23</v>
      </c>
      <c r="E6" s="7">
        <v>25</v>
      </c>
      <c r="F6" s="7">
        <v>32.31</v>
      </c>
      <c r="G6" s="7">
        <v>807.75</v>
      </c>
      <c r="H6" s="7">
        <v>0</v>
      </c>
      <c r="I6" s="2" t="s">
        <v>24</v>
      </c>
      <c r="J6" s="2" t="s">
        <v>30</v>
      </c>
      <c r="K6" s="2" t="s">
        <v>31</v>
      </c>
      <c r="L6" s="2" t="s">
        <v>32</v>
      </c>
      <c r="M6" s="10">
        <v>2</v>
      </c>
      <c r="N6" s="1" t="s">
        <v>357</v>
      </c>
    </row>
    <row r="7" spans="1:21" x14ac:dyDescent="0.6">
      <c r="A7" s="2" t="s">
        <v>33</v>
      </c>
      <c r="B7" s="2" t="s">
        <v>34</v>
      </c>
      <c r="C7" s="2" t="s">
        <v>35</v>
      </c>
      <c r="D7" s="2" t="s">
        <v>23</v>
      </c>
      <c r="E7" s="7">
        <v>35</v>
      </c>
      <c r="F7" s="7">
        <v>148.35</v>
      </c>
      <c r="G7" s="7">
        <v>5192.25</v>
      </c>
      <c r="H7" s="7">
        <v>0</v>
      </c>
      <c r="I7" s="2" t="s">
        <v>36</v>
      </c>
      <c r="J7" s="2" t="s">
        <v>37</v>
      </c>
      <c r="K7" s="2" t="s">
        <v>38</v>
      </c>
      <c r="L7" s="2" t="s">
        <v>19</v>
      </c>
      <c r="N7" s="1" t="s">
        <v>356</v>
      </c>
    </row>
    <row r="8" spans="1:21" x14ac:dyDescent="0.6">
      <c r="A8" s="2" t="s">
        <v>39</v>
      </c>
      <c r="B8" s="2" t="s">
        <v>40</v>
      </c>
      <c r="C8" s="2" t="s">
        <v>35</v>
      </c>
      <c r="D8" s="2" t="s">
        <v>23</v>
      </c>
      <c r="E8" s="7">
        <v>29</v>
      </c>
      <c r="F8" s="7">
        <v>96.43</v>
      </c>
      <c r="G8" s="7">
        <v>2656.65</v>
      </c>
      <c r="H8" s="7">
        <v>5</v>
      </c>
      <c r="I8" s="2" t="s">
        <v>36</v>
      </c>
      <c r="J8" s="2" t="s">
        <v>41</v>
      </c>
      <c r="K8" s="2" t="s">
        <v>42</v>
      </c>
      <c r="L8" s="2" t="s">
        <v>32</v>
      </c>
    </row>
    <row r="9" spans="1:21" x14ac:dyDescent="0.6">
      <c r="A9" s="2" t="s">
        <v>43</v>
      </c>
      <c r="B9" s="2" t="s">
        <v>44</v>
      </c>
      <c r="C9" s="2" t="s">
        <v>14</v>
      </c>
      <c r="D9" s="2" t="s">
        <v>15</v>
      </c>
      <c r="E9" s="7">
        <v>31</v>
      </c>
      <c r="F9" s="7">
        <v>827.56</v>
      </c>
      <c r="G9" s="7">
        <v>20523.490000000002</v>
      </c>
      <c r="H9" s="7">
        <v>20</v>
      </c>
      <c r="I9" s="2" t="s">
        <v>24</v>
      </c>
      <c r="J9" s="2" t="s">
        <v>25</v>
      </c>
      <c r="K9" s="2" t="s">
        <v>42</v>
      </c>
      <c r="L9" s="2" t="s">
        <v>45</v>
      </c>
    </row>
    <row r="10" spans="1:21" x14ac:dyDescent="0.6">
      <c r="A10" s="2" t="s">
        <v>46</v>
      </c>
      <c r="B10" s="2" t="s">
        <v>47</v>
      </c>
      <c r="C10" s="2" t="s">
        <v>48</v>
      </c>
      <c r="D10" s="2" t="s">
        <v>23</v>
      </c>
      <c r="E10" s="7">
        <v>34</v>
      </c>
      <c r="F10" s="7">
        <v>18.39</v>
      </c>
      <c r="G10" s="7">
        <v>562.73</v>
      </c>
      <c r="H10" s="7">
        <v>10</v>
      </c>
      <c r="I10" s="2" t="s">
        <v>16</v>
      </c>
      <c r="J10" s="2" t="s">
        <v>49</v>
      </c>
      <c r="K10" s="2" t="s">
        <v>50</v>
      </c>
      <c r="L10" s="2" t="s">
        <v>51</v>
      </c>
    </row>
    <row r="11" spans="1:21" x14ac:dyDescent="0.6">
      <c r="A11" s="2" t="s">
        <v>52</v>
      </c>
      <c r="B11" s="2" t="s">
        <v>53</v>
      </c>
      <c r="C11" s="2" t="s">
        <v>54</v>
      </c>
      <c r="D11" s="2" t="s">
        <v>15</v>
      </c>
      <c r="E11" s="7">
        <v>25</v>
      </c>
      <c r="F11" s="7">
        <v>268.79000000000002</v>
      </c>
      <c r="G11" s="7">
        <v>6383.76</v>
      </c>
      <c r="H11" s="7">
        <v>5</v>
      </c>
      <c r="I11" s="2" t="s">
        <v>16</v>
      </c>
      <c r="J11" s="2" t="s">
        <v>55</v>
      </c>
      <c r="K11" s="2" t="s">
        <v>56</v>
      </c>
      <c r="L11" s="2" t="s">
        <v>57</v>
      </c>
    </row>
    <row r="12" spans="1:21" x14ac:dyDescent="0.6">
      <c r="A12" s="2" t="s">
        <v>58</v>
      </c>
      <c r="B12" s="2" t="s">
        <v>59</v>
      </c>
      <c r="C12" s="2" t="s">
        <v>60</v>
      </c>
      <c r="D12" s="2" t="s">
        <v>15</v>
      </c>
      <c r="E12" s="7">
        <v>50</v>
      </c>
      <c r="F12" s="7">
        <v>398.11</v>
      </c>
      <c r="G12" s="7">
        <v>17914.95</v>
      </c>
      <c r="H12" s="7">
        <v>10</v>
      </c>
      <c r="I12" s="2" t="s">
        <v>61</v>
      </c>
      <c r="J12" s="2" t="s">
        <v>62</v>
      </c>
      <c r="K12" s="2" t="s">
        <v>63</v>
      </c>
      <c r="L12" s="2" t="s">
        <v>57</v>
      </c>
    </row>
    <row r="13" spans="1:21" x14ac:dyDescent="0.6">
      <c r="A13" s="2" t="s">
        <v>64</v>
      </c>
      <c r="B13" s="2" t="s">
        <v>65</v>
      </c>
      <c r="C13" s="2" t="s">
        <v>66</v>
      </c>
      <c r="D13" s="2" t="s">
        <v>15</v>
      </c>
      <c r="E13" s="7">
        <v>1</v>
      </c>
      <c r="F13" s="7">
        <v>381.43</v>
      </c>
      <c r="G13" s="7">
        <v>381.43</v>
      </c>
      <c r="H13" s="7">
        <v>0</v>
      </c>
      <c r="I13" s="2" t="s">
        <v>24</v>
      </c>
      <c r="J13" s="2" t="s">
        <v>67</v>
      </c>
      <c r="K13" s="2" t="s">
        <v>68</v>
      </c>
      <c r="L13" s="2" t="s">
        <v>32</v>
      </c>
    </row>
    <row r="14" spans="1:21" x14ac:dyDescent="0.6">
      <c r="A14" s="2" t="s">
        <v>69</v>
      </c>
      <c r="B14" s="2" t="s">
        <v>70</v>
      </c>
      <c r="C14" s="2" t="s">
        <v>71</v>
      </c>
      <c r="D14" s="2" t="s">
        <v>72</v>
      </c>
      <c r="E14" s="7">
        <v>10</v>
      </c>
      <c r="F14" s="7">
        <v>52.83</v>
      </c>
      <c r="G14" s="7">
        <v>475.47</v>
      </c>
      <c r="H14" s="7">
        <v>10</v>
      </c>
      <c r="I14" s="2" t="s">
        <v>24</v>
      </c>
      <c r="J14" s="2" t="s">
        <v>73</v>
      </c>
      <c r="K14" s="2" t="s">
        <v>74</v>
      </c>
      <c r="L14" s="2" t="s">
        <v>51</v>
      </c>
    </row>
    <row r="15" spans="1:21" x14ac:dyDescent="0.6">
      <c r="A15" s="2" t="s">
        <v>75</v>
      </c>
      <c r="B15" s="2" t="s">
        <v>76</v>
      </c>
      <c r="C15" s="2" t="s">
        <v>77</v>
      </c>
      <c r="D15" s="2" t="s">
        <v>15</v>
      </c>
      <c r="E15" s="7">
        <v>50</v>
      </c>
      <c r="F15" s="7">
        <v>1045.4000000000001</v>
      </c>
      <c r="G15" s="7">
        <v>49656.5</v>
      </c>
      <c r="H15" s="7">
        <v>5</v>
      </c>
      <c r="I15" s="2" t="s">
        <v>16</v>
      </c>
      <c r="J15" s="2" t="s">
        <v>17</v>
      </c>
      <c r="K15" s="2" t="s">
        <v>78</v>
      </c>
      <c r="L15" s="2" t="s">
        <v>32</v>
      </c>
    </row>
    <row r="16" spans="1:21" x14ac:dyDescent="0.6">
      <c r="A16" s="2" t="s">
        <v>79</v>
      </c>
      <c r="B16" s="2" t="s">
        <v>80</v>
      </c>
      <c r="C16" s="2" t="s">
        <v>60</v>
      </c>
      <c r="D16" s="2" t="s">
        <v>15</v>
      </c>
      <c r="E16" s="7">
        <v>48</v>
      </c>
      <c r="F16" s="7">
        <v>439.87</v>
      </c>
      <c r="G16" s="7">
        <v>20058.07</v>
      </c>
      <c r="H16" s="7">
        <v>5</v>
      </c>
      <c r="I16" s="2" t="s">
        <v>61</v>
      </c>
      <c r="J16" s="2" t="s">
        <v>81</v>
      </c>
      <c r="K16" s="2" t="s">
        <v>82</v>
      </c>
      <c r="L16" s="2" t="s">
        <v>32</v>
      </c>
    </row>
    <row r="17" spans="1:12" x14ac:dyDescent="0.6">
      <c r="A17" s="2" t="s">
        <v>83</v>
      </c>
      <c r="B17" s="2" t="s">
        <v>84</v>
      </c>
      <c r="C17" s="2" t="s">
        <v>85</v>
      </c>
      <c r="D17" s="2" t="s">
        <v>23</v>
      </c>
      <c r="E17" s="7">
        <v>5</v>
      </c>
      <c r="F17" s="7">
        <v>16.440000000000001</v>
      </c>
      <c r="G17" s="7">
        <v>65.760000000000005</v>
      </c>
      <c r="H17" s="7">
        <v>20</v>
      </c>
      <c r="I17" s="2" t="s">
        <v>61</v>
      </c>
      <c r="J17" s="2" t="s">
        <v>62</v>
      </c>
      <c r="K17" s="2" t="s">
        <v>86</v>
      </c>
      <c r="L17" s="2" t="s">
        <v>57</v>
      </c>
    </row>
    <row r="18" spans="1:12" x14ac:dyDescent="0.6">
      <c r="A18" s="2" t="s">
        <v>87</v>
      </c>
      <c r="B18" s="2" t="s">
        <v>88</v>
      </c>
      <c r="C18" s="2" t="s">
        <v>89</v>
      </c>
      <c r="D18" s="2" t="s">
        <v>90</v>
      </c>
      <c r="E18" s="7">
        <v>33</v>
      </c>
      <c r="F18" s="7">
        <v>387.64</v>
      </c>
      <c r="G18" s="7">
        <v>12152.51</v>
      </c>
      <c r="H18" s="7">
        <v>5</v>
      </c>
      <c r="I18" s="2" t="s">
        <v>16</v>
      </c>
      <c r="J18" s="2" t="s">
        <v>55</v>
      </c>
      <c r="K18" s="2" t="s">
        <v>91</v>
      </c>
      <c r="L18" s="2" t="s">
        <v>57</v>
      </c>
    </row>
    <row r="19" spans="1:12" x14ac:dyDescent="0.6">
      <c r="A19" s="2" t="s">
        <v>92</v>
      </c>
      <c r="B19" s="2" t="s">
        <v>93</v>
      </c>
      <c r="C19" s="2" t="s">
        <v>94</v>
      </c>
      <c r="D19" s="2" t="s">
        <v>90</v>
      </c>
      <c r="E19" s="7">
        <v>26</v>
      </c>
      <c r="F19" s="7">
        <v>290.39</v>
      </c>
      <c r="G19" s="7">
        <v>6040.11</v>
      </c>
      <c r="H19" s="7">
        <v>20</v>
      </c>
      <c r="I19" s="2" t="s">
        <v>24</v>
      </c>
      <c r="J19" s="2" t="s">
        <v>67</v>
      </c>
      <c r="K19" s="2" t="s">
        <v>95</v>
      </c>
      <c r="L19" s="2" t="s">
        <v>32</v>
      </c>
    </row>
    <row r="20" spans="1:12" x14ac:dyDescent="0.6">
      <c r="A20" s="2" t="s">
        <v>96</v>
      </c>
      <c r="B20" s="2" t="s">
        <v>97</v>
      </c>
      <c r="C20" s="2" t="s">
        <v>14</v>
      </c>
      <c r="D20" s="2" t="s">
        <v>15</v>
      </c>
      <c r="E20" s="7">
        <v>14</v>
      </c>
      <c r="F20" s="7">
        <v>427.52</v>
      </c>
      <c r="G20" s="7">
        <v>5686.02</v>
      </c>
      <c r="H20" s="7">
        <v>5</v>
      </c>
      <c r="I20" s="2" t="s">
        <v>16</v>
      </c>
      <c r="J20" s="2" t="s">
        <v>55</v>
      </c>
      <c r="K20" s="2" t="s">
        <v>98</v>
      </c>
      <c r="L20" s="2" t="s">
        <v>51</v>
      </c>
    </row>
    <row r="21" spans="1:12" x14ac:dyDescent="0.6">
      <c r="A21" s="2" t="s">
        <v>99</v>
      </c>
      <c r="B21" s="2" t="s">
        <v>100</v>
      </c>
      <c r="C21" s="2" t="s">
        <v>14</v>
      </c>
      <c r="D21" s="2" t="s">
        <v>15</v>
      </c>
      <c r="E21" s="7">
        <v>41</v>
      </c>
      <c r="F21" s="7">
        <v>837.61</v>
      </c>
      <c r="G21" s="7">
        <v>30907.81</v>
      </c>
      <c r="H21" s="7">
        <v>10</v>
      </c>
      <c r="I21" s="2" t="s">
        <v>16</v>
      </c>
      <c r="J21" s="2" t="s">
        <v>17</v>
      </c>
      <c r="K21" s="2" t="s">
        <v>101</v>
      </c>
      <c r="L21" s="2" t="s">
        <v>57</v>
      </c>
    </row>
    <row r="22" spans="1:12" x14ac:dyDescent="0.6">
      <c r="A22" s="2" t="s">
        <v>102</v>
      </c>
      <c r="B22" s="2" t="s">
        <v>103</v>
      </c>
      <c r="C22" s="2" t="s">
        <v>85</v>
      </c>
      <c r="D22" s="2" t="s">
        <v>23</v>
      </c>
      <c r="E22" s="7">
        <v>6</v>
      </c>
      <c r="F22" s="7">
        <v>25.76</v>
      </c>
      <c r="G22" s="7">
        <v>154.56</v>
      </c>
      <c r="H22" s="7">
        <v>0</v>
      </c>
      <c r="I22" s="2" t="s">
        <v>61</v>
      </c>
      <c r="J22" s="2" t="s">
        <v>81</v>
      </c>
      <c r="K22" s="2" t="s">
        <v>104</v>
      </c>
      <c r="L22" s="2" t="s">
        <v>57</v>
      </c>
    </row>
    <row r="23" spans="1:12" x14ac:dyDescent="0.6">
      <c r="A23" s="2" t="s">
        <v>105</v>
      </c>
      <c r="B23" s="2" t="s">
        <v>106</v>
      </c>
      <c r="C23" s="2" t="s">
        <v>14</v>
      </c>
      <c r="D23" s="2" t="s">
        <v>15</v>
      </c>
      <c r="E23" s="7">
        <v>13</v>
      </c>
      <c r="F23" s="7">
        <v>546.67999999999995</v>
      </c>
      <c r="G23" s="7">
        <v>7106.84</v>
      </c>
      <c r="H23" s="7">
        <v>0</v>
      </c>
      <c r="I23" s="2" t="s">
        <v>61</v>
      </c>
      <c r="J23" s="2" t="s">
        <v>107</v>
      </c>
      <c r="K23" s="2" t="s">
        <v>108</v>
      </c>
      <c r="L23" s="2" t="s">
        <v>19</v>
      </c>
    </row>
    <row r="24" spans="1:12" x14ac:dyDescent="0.6">
      <c r="A24" s="2" t="s">
        <v>109</v>
      </c>
      <c r="B24" s="2" t="s">
        <v>110</v>
      </c>
      <c r="C24" s="2" t="s">
        <v>48</v>
      </c>
      <c r="D24" s="2" t="s">
        <v>23</v>
      </c>
      <c r="E24" s="7">
        <v>18</v>
      </c>
      <c r="F24" s="7">
        <v>22.1</v>
      </c>
      <c r="G24" s="7">
        <v>397.8</v>
      </c>
      <c r="H24" s="7">
        <v>0</v>
      </c>
      <c r="I24" s="2" t="s">
        <v>16</v>
      </c>
      <c r="J24" s="2" t="s">
        <v>17</v>
      </c>
      <c r="K24" s="2" t="s">
        <v>111</v>
      </c>
      <c r="L24" s="2" t="s">
        <v>32</v>
      </c>
    </row>
    <row r="25" spans="1:12" x14ac:dyDescent="0.6">
      <c r="A25" s="2" t="s">
        <v>112</v>
      </c>
      <c r="B25" s="2" t="s">
        <v>113</v>
      </c>
      <c r="C25" s="2" t="s">
        <v>29</v>
      </c>
      <c r="D25" s="2" t="s">
        <v>23</v>
      </c>
      <c r="E25" s="7">
        <v>37</v>
      </c>
      <c r="F25" s="7">
        <v>31.51</v>
      </c>
      <c r="G25" s="7">
        <v>932.7</v>
      </c>
      <c r="H25" s="7">
        <v>20</v>
      </c>
      <c r="I25" s="2" t="s">
        <v>36</v>
      </c>
      <c r="J25" s="2" t="s">
        <v>114</v>
      </c>
      <c r="K25" s="2" t="s">
        <v>115</v>
      </c>
      <c r="L25" s="2" t="s">
        <v>57</v>
      </c>
    </row>
    <row r="26" spans="1:12" x14ac:dyDescent="0.6">
      <c r="A26" s="2" t="s">
        <v>116</v>
      </c>
      <c r="B26" s="2" t="s">
        <v>80</v>
      </c>
      <c r="C26" s="2" t="s">
        <v>89</v>
      </c>
      <c r="D26" s="2" t="s">
        <v>90</v>
      </c>
      <c r="E26" s="7">
        <v>42</v>
      </c>
      <c r="F26" s="7">
        <v>611.13</v>
      </c>
      <c r="G26" s="7">
        <v>23100.71</v>
      </c>
      <c r="H26" s="7">
        <v>10</v>
      </c>
      <c r="I26" s="2" t="s">
        <v>24</v>
      </c>
      <c r="J26" s="2" t="s">
        <v>25</v>
      </c>
      <c r="K26" s="2" t="s">
        <v>117</v>
      </c>
      <c r="L26" s="2" t="s">
        <v>51</v>
      </c>
    </row>
    <row r="27" spans="1:12" x14ac:dyDescent="0.6">
      <c r="A27" s="2" t="s">
        <v>118</v>
      </c>
      <c r="B27" s="2" t="s">
        <v>119</v>
      </c>
      <c r="C27" s="2" t="s">
        <v>89</v>
      </c>
      <c r="D27" s="2" t="s">
        <v>90</v>
      </c>
      <c r="E27" s="7">
        <v>16</v>
      </c>
      <c r="F27" s="7">
        <v>690.32</v>
      </c>
      <c r="G27" s="7">
        <v>10492.86</v>
      </c>
      <c r="H27" s="7">
        <v>5</v>
      </c>
      <c r="I27" s="2" t="s">
        <v>16</v>
      </c>
      <c r="J27" s="2" t="s">
        <v>120</v>
      </c>
      <c r="K27" s="2" t="s">
        <v>121</v>
      </c>
      <c r="L27" s="2" t="s">
        <v>57</v>
      </c>
    </row>
    <row r="28" spans="1:12" x14ac:dyDescent="0.6">
      <c r="A28" s="2" t="s">
        <v>122</v>
      </c>
      <c r="B28" s="2" t="s">
        <v>123</v>
      </c>
      <c r="C28" s="2" t="s">
        <v>60</v>
      </c>
      <c r="D28" s="2" t="s">
        <v>15</v>
      </c>
      <c r="E28" s="7">
        <v>47</v>
      </c>
      <c r="F28" s="7">
        <v>338.38</v>
      </c>
      <c r="G28" s="7">
        <v>14313.47</v>
      </c>
      <c r="H28" s="7">
        <v>10</v>
      </c>
      <c r="I28" s="2" t="s">
        <v>61</v>
      </c>
      <c r="J28" s="2" t="s">
        <v>81</v>
      </c>
      <c r="K28" s="2" t="s">
        <v>124</v>
      </c>
      <c r="L28" s="2" t="s">
        <v>32</v>
      </c>
    </row>
    <row r="29" spans="1:12" x14ac:dyDescent="0.6">
      <c r="A29" s="2" t="s">
        <v>125</v>
      </c>
      <c r="B29" s="2" t="s">
        <v>126</v>
      </c>
      <c r="C29" s="2" t="s">
        <v>127</v>
      </c>
      <c r="D29" s="2" t="s">
        <v>72</v>
      </c>
      <c r="E29" s="7">
        <v>31</v>
      </c>
      <c r="F29" s="7">
        <v>29.84</v>
      </c>
      <c r="G29" s="7">
        <v>786.28</v>
      </c>
      <c r="H29" s="7">
        <v>15</v>
      </c>
      <c r="I29" s="2" t="s">
        <v>61</v>
      </c>
      <c r="J29" s="2" t="s">
        <v>128</v>
      </c>
      <c r="K29" s="2" t="s">
        <v>129</v>
      </c>
      <c r="L29" s="2" t="s">
        <v>19</v>
      </c>
    </row>
    <row r="30" spans="1:12" x14ac:dyDescent="0.6">
      <c r="A30" s="2" t="s">
        <v>130</v>
      </c>
      <c r="B30" s="2" t="s">
        <v>131</v>
      </c>
      <c r="C30" s="2" t="s">
        <v>77</v>
      </c>
      <c r="D30" s="2" t="s">
        <v>15</v>
      </c>
      <c r="E30" s="7">
        <v>40</v>
      </c>
      <c r="F30" s="7">
        <v>1119.49</v>
      </c>
      <c r="G30" s="7">
        <v>44779.6</v>
      </c>
      <c r="H30" s="7">
        <v>0</v>
      </c>
      <c r="I30" s="2" t="s">
        <v>24</v>
      </c>
      <c r="J30" s="2" t="s">
        <v>67</v>
      </c>
      <c r="K30" s="2" t="s">
        <v>98</v>
      </c>
      <c r="L30" s="2" t="s">
        <v>32</v>
      </c>
    </row>
    <row r="31" spans="1:12" x14ac:dyDescent="0.6">
      <c r="A31" s="2" t="s">
        <v>132</v>
      </c>
      <c r="B31" s="2" t="s">
        <v>133</v>
      </c>
      <c r="C31" s="2" t="s">
        <v>54</v>
      </c>
      <c r="D31" s="2" t="s">
        <v>15</v>
      </c>
      <c r="E31" s="7">
        <v>2</v>
      </c>
      <c r="F31" s="7">
        <v>576.91</v>
      </c>
      <c r="G31" s="7">
        <v>1153.82</v>
      </c>
      <c r="H31" s="7">
        <v>0</v>
      </c>
      <c r="I31" s="2" t="s">
        <v>36</v>
      </c>
      <c r="J31" s="2" t="s">
        <v>114</v>
      </c>
      <c r="K31" s="2" t="s">
        <v>134</v>
      </c>
      <c r="L31" s="2" t="s">
        <v>32</v>
      </c>
    </row>
    <row r="32" spans="1:12" x14ac:dyDescent="0.6">
      <c r="A32" s="2" t="s">
        <v>135</v>
      </c>
      <c r="B32" s="2" t="s">
        <v>136</v>
      </c>
      <c r="C32" s="2" t="s">
        <v>60</v>
      </c>
      <c r="D32" s="2" t="s">
        <v>15</v>
      </c>
      <c r="E32" s="7">
        <v>32</v>
      </c>
      <c r="F32" s="7">
        <v>398.77</v>
      </c>
      <c r="G32" s="7">
        <v>12760.64</v>
      </c>
      <c r="H32" s="7">
        <v>0</v>
      </c>
      <c r="I32" s="2" t="s">
        <v>16</v>
      </c>
      <c r="J32" s="2" t="s">
        <v>137</v>
      </c>
      <c r="K32" s="2" t="s">
        <v>138</v>
      </c>
      <c r="L32" s="2" t="s">
        <v>57</v>
      </c>
    </row>
    <row r="33" spans="1:12" x14ac:dyDescent="0.6">
      <c r="A33" s="2" t="s">
        <v>139</v>
      </c>
      <c r="B33" s="2" t="s">
        <v>140</v>
      </c>
      <c r="C33" s="2" t="s">
        <v>60</v>
      </c>
      <c r="D33" s="2" t="s">
        <v>15</v>
      </c>
      <c r="E33" s="7">
        <v>3</v>
      </c>
      <c r="F33" s="7">
        <v>364.42</v>
      </c>
      <c r="G33" s="7">
        <v>1093.26</v>
      </c>
      <c r="H33" s="7">
        <v>0</v>
      </c>
      <c r="I33" s="2" t="s">
        <v>36</v>
      </c>
      <c r="J33" s="2" t="s">
        <v>114</v>
      </c>
      <c r="K33" s="2" t="s">
        <v>141</v>
      </c>
      <c r="L33" s="2" t="s">
        <v>45</v>
      </c>
    </row>
    <row r="34" spans="1:12" x14ac:dyDescent="0.6">
      <c r="A34" s="2" t="s">
        <v>142</v>
      </c>
      <c r="B34" s="2" t="s">
        <v>143</v>
      </c>
      <c r="C34" s="2" t="s">
        <v>29</v>
      </c>
      <c r="D34" s="2" t="s">
        <v>23</v>
      </c>
      <c r="E34" s="7">
        <v>46</v>
      </c>
      <c r="F34" s="7">
        <v>67.180000000000007</v>
      </c>
      <c r="G34" s="7">
        <v>2935.77</v>
      </c>
      <c r="H34" s="7">
        <v>5</v>
      </c>
      <c r="I34" s="2" t="s">
        <v>16</v>
      </c>
      <c r="J34" s="2" t="s">
        <v>120</v>
      </c>
      <c r="K34" s="2" t="s">
        <v>144</v>
      </c>
      <c r="L34" s="2" t="s">
        <v>57</v>
      </c>
    </row>
    <row r="35" spans="1:12" x14ac:dyDescent="0.6">
      <c r="A35" s="2" t="s">
        <v>145</v>
      </c>
      <c r="B35" s="2" t="s">
        <v>146</v>
      </c>
      <c r="C35" s="2" t="s">
        <v>48</v>
      </c>
      <c r="D35" s="2" t="s">
        <v>23</v>
      </c>
      <c r="E35" s="7">
        <v>46</v>
      </c>
      <c r="F35" s="7">
        <v>39.340000000000003</v>
      </c>
      <c r="G35" s="7">
        <v>1628.68</v>
      </c>
      <c r="H35" s="7">
        <v>10</v>
      </c>
      <c r="I35" s="2" t="s">
        <v>16</v>
      </c>
      <c r="J35" s="2" t="s">
        <v>49</v>
      </c>
      <c r="K35" s="2" t="s">
        <v>147</v>
      </c>
      <c r="L35" s="2" t="s">
        <v>51</v>
      </c>
    </row>
    <row r="36" spans="1:12" x14ac:dyDescent="0.6">
      <c r="A36" s="2" t="s">
        <v>148</v>
      </c>
      <c r="B36" s="2" t="s">
        <v>149</v>
      </c>
      <c r="C36" s="2" t="s">
        <v>14</v>
      </c>
      <c r="D36" s="2" t="s">
        <v>15</v>
      </c>
      <c r="E36" s="7">
        <v>16</v>
      </c>
      <c r="F36" s="7">
        <v>402.48</v>
      </c>
      <c r="G36" s="7">
        <v>6117.7</v>
      </c>
      <c r="H36" s="7">
        <v>5</v>
      </c>
      <c r="I36" s="2" t="s">
        <v>16</v>
      </c>
      <c r="J36" s="2" t="s">
        <v>120</v>
      </c>
      <c r="K36" s="2" t="s">
        <v>150</v>
      </c>
      <c r="L36" s="2" t="s">
        <v>51</v>
      </c>
    </row>
    <row r="37" spans="1:12" x14ac:dyDescent="0.6">
      <c r="A37" s="2" t="s">
        <v>151</v>
      </c>
      <c r="B37" s="2" t="s">
        <v>152</v>
      </c>
      <c r="C37" s="2" t="s">
        <v>127</v>
      </c>
      <c r="D37" s="2" t="s">
        <v>72</v>
      </c>
      <c r="E37" s="7">
        <v>38</v>
      </c>
      <c r="F37" s="7">
        <v>48.25</v>
      </c>
      <c r="G37" s="7">
        <v>1741.82</v>
      </c>
      <c r="H37" s="7">
        <v>5</v>
      </c>
      <c r="I37" s="2" t="s">
        <v>24</v>
      </c>
      <c r="J37" s="2" t="s">
        <v>67</v>
      </c>
      <c r="K37" s="2" t="s">
        <v>153</v>
      </c>
      <c r="L37" s="2" t="s">
        <v>51</v>
      </c>
    </row>
    <row r="38" spans="1:12" x14ac:dyDescent="0.6">
      <c r="A38" s="2" t="s">
        <v>154</v>
      </c>
      <c r="B38" s="2" t="s">
        <v>155</v>
      </c>
      <c r="C38" s="2" t="s">
        <v>85</v>
      </c>
      <c r="D38" s="2" t="s">
        <v>23</v>
      </c>
      <c r="E38" s="7">
        <v>42</v>
      </c>
      <c r="F38" s="7">
        <v>29.15</v>
      </c>
      <c r="G38" s="7">
        <v>1101.8699999999999</v>
      </c>
      <c r="H38" s="7">
        <v>10</v>
      </c>
      <c r="I38" s="2" t="s">
        <v>16</v>
      </c>
      <c r="J38" s="2" t="s">
        <v>137</v>
      </c>
      <c r="K38" s="2" t="s">
        <v>156</v>
      </c>
      <c r="L38" s="2" t="s">
        <v>19</v>
      </c>
    </row>
    <row r="39" spans="1:12" x14ac:dyDescent="0.6">
      <c r="A39" s="2" t="s">
        <v>157</v>
      </c>
      <c r="B39" s="2" t="s">
        <v>158</v>
      </c>
      <c r="C39" s="2" t="s">
        <v>48</v>
      </c>
      <c r="D39" s="2" t="s">
        <v>23</v>
      </c>
      <c r="E39" s="7">
        <v>4</v>
      </c>
      <c r="F39" s="7">
        <v>29.73</v>
      </c>
      <c r="G39" s="7">
        <v>107.03</v>
      </c>
      <c r="H39" s="7">
        <v>10</v>
      </c>
      <c r="I39" s="2" t="s">
        <v>61</v>
      </c>
      <c r="J39" s="2" t="s">
        <v>81</v>
      </c>
      <c r="K39" s="2" t="s">
        <v>159</v>
      </c>
      <c r="L39" s="2" t="s">
        <v>51</v>
      </c>
    </row>
    <row r="40" spans="1:12" x14ac:dyDescent="0.6">
      <c r="A40" s="2" t="s">
        <v>160</v>
      </c>
      <c r="B40" s="2" t="s">
        <v>161</v>
      </c>
      <c r="C40" s="2" t="s">
        <v>29</v>
      </c>
      <c r="D40" s="2" t="s">
        <v>23</v>
      </c>
      <c r="E40" s="7">
        <v>36</v>
      </c>
      <c r="F40" s="7">
        <v>49.63</v>
      </c>
      <c r="G40" s="7">
        <v>1697.35</v>
      </c>
      <c r="H40" s="7">
        <v>5</v>
      </c>
      <c r="I40" s="2" t="s">
        <v>16</v>
      </c>
      <c r="J40" s="2" t="s">
        <v>49</v>
      </c>
      <c r="K40" s="2" t="s">
        <v>162</v>
      </c>
      <c r="L40" s="2" t="s">
        <v>57</v>
      </c>
    </row>
    <row r="41" spans="1:12" x14ac:dyDescent="0.6">
      <c r="A41" s="2" t="s">
        <v>163</v>
      </c>
      <c r="B41" s="2" t="s">
        <v>164</v>
      </c>
      <c r="C41" s="2" t="s">
        <v>29</v>
      </c>
      <c r="D41" s="2" t="s">
        <v>23</v>
      </c>
      <c r="E41" s="7">
        <v>36</v>
      </c>
      <c r="F41" s="7">
        <v>46.79</v>
      </c>
      <c r="G41" s="7">
        <v>1516</v>
      </c>
      <c r="H41" s="7">
        <v>10</v>
      </c>
      <c r="I41" s="2" t="s">
        <v>36</v>
      </c>
      <c r="J41" s="2" t="s">
        <v>114</v>
      </c>
      <c r="K41" s="2" t="s">
        <v>165</v>
      </c>
      <c r="L41" s="2" t="s">
        <v>45</v>
      </c>
    </row>
    <row r="42" spans="1:12" x14ac:dyDescent="0.6">
      <c r="A42" s="2" t="s">
        <v>166</v>
      </c>
      <c r="B42" s="2" t="s">
        <v>167</v>
      </c>
      <c r="C42" s="2" t="s">
        <v>60</v>
      </c>
      <c r="D42" s="2" t="s">
        <v>15</v>
      </c>
      <c r="E42" s="7">
        <v>46</v>
      </c>
      <c r="F42" s="7">
        <v>360.9</v>
      </c>
      <c r="G42" s="7">
        <v>14111.19</v>
      </c>
      <c r="H42" s="7">
        <v>15</v>
      </c>
      <c r="I42" s="2" t="s">
        <v>36</v>
      </c>
      <c r="J42" s="2" t="s">
        <v>168</v>
      </c>
      <c r="K42" s="2" t="s">
        <v>169</v>
      </c>
      <c r="L42" s="2" t="s">
        <v>32</v>
      </c>
    </row>
    <row r="43" spans="1:12" x14ac:dyDescent="0.6">
      <c r="A43" s="2" t="s">
        <v>170</v>
      </c>
      <c r="B43" s="2" t="s">
        <v>171</v>
      </c>
      <c r="C43" s="2" t="s">
        <v>85</v>
      </c>
      <c r="D43" s="2" t="s">
        <v>23</v>
      </c>
      <c r="E43" s="7">
        <v>24</v>
      </c>
      <c r="F43" s="7">
        <v>23.05</v>
      </c>
      <c r="G43" s="7">
        <v>553.20000000000005</v>
      </c>
      <c r="H43" s="7">
        <v>0</v>
      </c>
      <c r="I43" s="2" t="s">
        <v>24</v>
      </c>
      <c r="J43" s="2" t="s">
        <v>67</v>
      </c>
      <c r="K43" s="2" t="s">
        <v>172</v>
      </c>
      <c r="L43" s="2" t="s">
        <v>32</v>
      </c>
    </row>
    <row r="44" spans="1:12" x14ac:dyDescent="0.6">
      <c r="A44" s="2" t="s">
        <v>173</v>
      </c>
      <c r="B44" s="2" t="s">
        <v>174</v>
      </c>
      <c r="C44" s="2" t="s">
        <v>77</v>
      </c>
      <c r="D44" s="2" t="s">
        <v>15</v>
      </c>
      <c r="E44" s="7">
        <v>9</v>
      </c>
      <c r="F44" s="7">
        <v>1007.32</v>
      </c>
      <c r="G44" s="7">
        <v>9065.8799999999992</v>
      </c>
      <c r="H44" s="7">
        <v>0</v>
      </c>
      <c r="I44" s="2" t="s">
        <v>61</v>
      </c>
      <c r="J44" s="2" t="s">
        <v>107</v>
      </c>
      <c r="K44" s="2" t="s">
        <v>134</v>
      </c>
      <c r="L44" s="2" t="s">
        <v>19</v>
      </c>
    </row>
    <row r="45" spans="1:12" x14ac:dyDescent="0.6">
      <c r="A45" s="2" t="s">
        <v>175</v>
      </c>
      <c r="B45" s="2" t="s">
        <v>176</v>
      </c>
      <c r="C45" s="2" t="s">
        <v>94</v>
      </c>
      <c r="D45" s="2" t="s">
        <v>90</v>
      </c>
      <c r="E45" s="7">
        <v>33</v>
      </c>
      <c r="F45" s="7">
        <v>259.45</v>
      </c>
      <c r="G45" s="7">
        <v>6849.48</v>
      </c>
      <c r="H45" s="7">
        <v>20</v>
      </c>
      <c r="I45" s="2" t="s">
        <v>24</v>
      </c>
      <c r="J45" s="2" t="s">
        <v>25</v>
      </c>
      <c r="K45" s="2" t="s">
        <v>177</v>
      </c>
      <c r="L45" s="2" t="s">
        <v>45</v>
      </c>
    </row>
    <row r="46" spans="1:12" x14ac:dyDescent="0.6">
      <c r="A46" s="2" t="s">
        <v>178</v>
      </c>
      <c r="B46" s="2" t="s">
        <v>179</v>
      </c>
      <c r="C46" s="2" t="s">
        <v>85</v>
      </c>
      <c r="D46" s="2" t="s">
        <v>23</v>
      </c>
      <c r="E46" s="7">
        <v>19</v>
      </c>
      <c r="F46" s="7">
        <v>15.25</v>
      </c>
      <c r="G46" s="7">
        <v>289.75</v>
      </c>
      <c r="H46" s="7">
        <v>0</v>
      </c>
      <c r="I46" s="2" t="s">
        <v>16</v>
      </c>
      <c r="J46" s="2" t="s">
        <v>137</v>
      </c>
      <c r="K46" s="2" t="s">
        <v>180</v>
      </c>
      <c r="L46" s="2" t="s">
        <v>45</v>
      </c>
    </row>
    <row r="47" spans="1:12" x14ac:dyDescent="0.6">
      <c r="A47" s="2" t="s">
        <v>181</v>
      </c>
      <c r="B47" s="2" t="s">
        <v>182</v>
      </c>
      <c r="C47" s="2" t="s">
        <v>127</v>
      </c>
      <c r="D47" s="2" t="s">
        <v>72</v>
      </c>
      <c r="E47" s="7">
        <v>26</v>
      </c>
      <c r="F47" s="7">
        <v>20.92</v>
      </c>
      <c r="G47" s="7">
        <v>516.72</v>
      </c>
      <c r="H47" s="7">
        <v>5</v>
      </c>
      <c r="I47" s="2" t="s">
        <v>24</v>
      </c>
      <c r="J47" s="2" t="s">
        <v>67</v>
      </c>
      <c r="K47" s="2" t="s">
        <v>183</v>
      </c>
      <c r="L47" s="2" t="s">
        <v>45</v>
      </c>
    </row>
    <row r="48" spans="1:12" x14ac:dyDescent="0.6">
      <c r="A48" s="2" t="s">
        <v>184</v>
      </c>
      <c r="B48" s="2" t="s">
        <v>185</v>
      </c>
      <c r="C48" s="2" t="s">
        <v>22</v>
      </c>
      <c r="D48" s="2" t="s">
        <v>23</v>
      </c>
      <c r="E48" s="7">
        <v>24</v>
      </c>
      <c r="F48" s="7">
        <v>43.83</v>
      </c>
      <c r="G48" s="7">
        <v>1051.92</v>
      </c>
      <c r="H48" s="7">
        <v>0</v>
      </c>
      <c r="I48" s="2" t="s">
        <v>24</v>
      </c>
      <c r="J48" s="2" t="s">
        <v>25</v>
      </c>
      <c r="K48" s="2" t="s">
        <v>186</v>
      </c>
      <c r="L48" s="2" t="s">
        <v>51</v>
      </c>
    </row>
    <row r="49" spans="1:12" x14ac:dyDescent="0.6">
      <c r="A49" s="2" t="s">
        <v>187</v>
      </c>
      <c r="B49" s="2" t="s">
        <v>188</v>
      </c>
      <c r="C49" s="2" t="s">
        <v>22</v>
      </c>
      <c r="D49" s="2" t="s">
        <v>23</v>
      </c>
      <c r="E49" s="7">
        <v>26</v>
      </c>
      <c r="F49" s="7">
        <v>34.880000000000003</v>
      </c>
      <c r="G49" s="7">
        <v>906.88</v>
      </c>
      <c r="H49" s="7">
        <v>0</v>
      </c>
      <c r="I49" s="2" t="s">
        <v>61</v>
      </c>
      <c r="J49" s="2" t="s">
        <v>107</v>
      </c>
      <c r="K49" s="2" t="s">
        <v>189</v>
      </c>
      <c r="L49" s="2" t="s">
        <v>32</v>
      </c>
    </row>
    <row r="50" spans="1:12" x14ac:dyDescent="0.6">
      <c r="A50" s="2" t="s">
        <v>190</v>
      </c>
      <c r="B50" s="2" t="s">
        <v>191</v>
      </c>
      <c r="C50" s="2" t="s">
        <v>29</v>
      </c>
      <c r="D50" s="2" t="s">
        <v>23</v>
      </c>
      <c r="E50" s="7">
        <v>7</v>
      </c>
      <c r="F50" s="7">
        <v>61.03</v>
      </c>
      <c r="G50" s="7">
        <v>427.21</v>
      </c>
      <c r="H50" s="7">
        <v>0</v>
      </c>
      <c r="I50" s="2" t="s">
        <v>24</v>
      </c>
      <c r="J50" s="2" t="s">
        <v>192</v>
      </c>
      <c r="K50" s="2" t="s">
        <v>165</v>
      </c>
      <c r="L50" s="2" t="s">
        <v>57</v>
      </c>
    </row>
    <row r="51" spans="1:12" x14ac:dyDescent="0.6">
      <c r="A51" s="2" t="s">
        <v>193</v>
      </c>
      <c r="B51" s="2" t="s">
        <v>194</v>
      </c>
      <c r="C51" s="2" t="s">
        <v>89</v>
      </c>
      <c r="D51" s="2" t="s">
        <v>90</v>
      </c>
      <c r="E51" s="7">
        <v>31</v>
      </c>
      <c r="F51" s="7">
        <v>401.38</v>
      </c>
      <c r="G51" s="7">
        <v>11820.64</v>
      </c>
      <c r="H51" s="7">
        <v>5</v>
      </c>
      <c r="I51" s="2" t="s">
        <v>16</v>
      </c>
      <c r="J51" s="2" t="s">
        <v>49</v>
      </c>
      <c r="K51" s="2" t="s">
        <v>195</v>
      </c>
      <c r="L51" s="2" t="s">
        <v>57</v>
      </c>
    </row>
    <row r="52" spans="1:12" x14ac:dyDescent="0.6">
      <c r="A52" s="2" t="s">
        <v>196</v>
      </c>
      <c r="B52" s="2" t="s">
        <v>197</v>
      </c>
      <c r="C52" s="2" t="s">
        <v>94</v>
      </c>
      <c r="D52" s="2" t="s">
        <v>90</v>
      </c>
      <c r="E52" s="7">
        <v>49</v>
      </c>
      <c r="F52" s="7">
        <v>313.8</v>
      </c>
      <c r="G52" s="7">
        <v>15376.2</v>
      </c>
      <c r="H52" s="7">
        <v>0</v>
      </c>
      <c r="I52" s="2" t="s">
        <v>36</v>
      </c>
      <c r="J52" s="2" t="s">
        <v>37</v>
      </c>
      <c r="K52" s="2" t="s">
        <v>198</v>
      </c>
      <c r="L52" s="2" t="s">
        <v>57</v>
      </c>
    </row>
    <row r="53" spans="1:12" x14ac:dyDescent="0.6">
      <c r="A53" s="2" t="s">
        <v>199</v>
      </c>
      <c r="B53" s="2" t="s">
        <v>200</v>
      </c>
      <c r="C53" s="2" t="s">
        <v>48</v>
      </c>
      <c r="D53" s="2" t="s">
        <v>23</v>
      </c>
      <c r="E53" s="7">
        <v>33</v>
      </c>
      <c r="F53" s="7">
        <v>20.25</v>
      </c>
      <c r="G53" s="7">
        <v>601.42999999999995</v>
      </c>
      <c r="H53" s="7">
        <v>10</v>
      </c>
      <c r="I53" s="2" t="s">
        <v>24</v>
      </c>
      <c r="J53" s="2" t="s">
        <v>30</v>
      </c>
      <c r="K53" s="2" t="s">
        <v>201</v>
      </c>
      <c r="L53" s="2" t="s">
        <v>45</v>
      </c>
    </row>
    <row r="54" spans="1:12" x14ac:dyDescent="0.6">
      <c r="A54" s="2" t="s">
        <v>202</v>
      </c>
      <c r="B54" s="2" t="s">
        <v>203</v>
      </c>
      <c r="C54" s="2" t="s">
        <v>35</v>
      </c>
      <c r="D54" s="2" t="s">
        <v>23</v>
      </c>
      <c r="E54" s="7">
        <v>48</v>
      </c>
      <c r="F54" s="7">
        <v>128.31</v>
      </c>
      <c r="G54" s="7">
        <v>5542.99</v>
      </c>
      <c r="H54" s="7">
        <v>10</v>
      </c>
      <c r="I54" s="2" t="s">
        <v>36</v>
      </c>
      <c r="J54" s="2" t="s">
        <v>114</v>
      </c>
      <c r="K54" s="2" t="s">
        <v>204</v>
      </c>
      <c r="L54" s="2" t="s">
        <v>51</v>
      </c>
    </row>
    <row r="55" spans="1:12" x14ac:dyDescent="0.6">
      <c r="A55" s="2" t="s">
        <v>205</v>
      </c>
      <c r="B55" s="2" t="s">
        <v>206</v>
      </c>
      <c r="C55" s="2" t="s">
        <v>14</v>
      </c>
      <c r="D55" s="2" t="s">
        <v>15</v>
      </c>
      <c r="E55" s="7">
        <v>46</v>
      </c>
      <c r="F55" s="7">
        <v>435.1</v>
      </c>
      <c r="G55" s="7">
        <v>20014.599999999999</v>
      </c>
      <c r="H55" s="7">
        <v>0</v>
      </c>
      <c r="I55" s="2" t="s">
        <v>16</v>
      </c>
      <c r="J55" s="2" t="s">
        <v>120</v>
      </c>
      <c r="K55" s="2" t="s">
        <v>207</v>
      </c>
      <c r="L55" s="2" t="s">
        <v>45</v>
      </c>
    </row>
    <row r="56" spans="1:12" x14ac:dyDescent="0.6">
      <c r="A56" s="2" t="s">
        <v>208</v>
      </c>
      <c r="B56" s="2" t="s">
        <v>209</v>
      </c>
      <c r="C56" s="2" t="s">
        <v>85</v>
      </c>
      <c r="D56" s="2" t="s">
        <v>23</v>
      </c>
      <c r="E56" s="7">
        <v>34</v>
      </c>
      <c r="F56" s="7">
        <v>15.52</v>
      </c>
      <c r="G56" s="7">
        <v>474.91</v>
      </c>
      <c r="H56" s="7">
        <v>10</v>
      </c>
      <c r="I56" s="2" t="s">
        <v>36</v>
      </c>
      <c r="J56" s="2" t="s">
        <v>114</v>
      </c>
      <c r="K56" s="2" t="s">
        <v>111</v>
      </c>
      <c r="L56" s="2" t="s">
        <v>45</v>
      </c>
    </row>
    <row r="57" spans="1:12" x14ac:dyDescent="0.6">
      <c r="A57" s="2" t="s">
        <v>210</v>
      </c>
      <c r="B57" s="2" t="s">
        <v>211</v>
      </c>
      <c r="C57" s="2" t="s">
        <v>22</v>
      </c>
      <c r="D57" s="2" t="s">
        <v>23</v>
      </c>
      <c r="E57" s="7">
        <v>1</v>
      </c>
      <c r="F57" s="7">
        <v>17.940000000000001</v>
      </c>
      <c r="G57" s="7">
        <v>16.149999999999999</v>
      </c>
      <c r="H57" s="7">
        <v>10</v>
      </c>
      <c r="I57" s="2" t="s">
        <v>61</v>
      </c>
      <c r="J57" s="2" t="s">
        <v>128</v>
      </c>
      <c r="K57" s="2" t="s">
        <v>212</v>
      </c>
      <c r="L57" s="2" t="s">
        <v>19</v>
      </c>
    </row>
    <row r="58" spans="1:12" x14ac:dyDescent="0.6">
      <c r="A58" s="2" t="s">
        <v>213</v>
      </c>
      <c r="B58" s="2" t="s">
        <v>214</v>
      </c>
      <c r="C58" s="2" t="s">
        <v>89</v>
      </c>
      <c r="D58" s="2" t="s">
        <v>90</v>
      </c>
      <c r="E58" s="7">
        <v>26</v>
      </c>
      <c r="F58" s="7">
        <v>681.53</v>
      </c>
      <c r="G58" s="7">
        <v>17719.78</v>
      </c>
      <c r="H58" s="7">
        <v>0</v>
      </c>
      <c r="I58" s="2" t="s">
        <v>24</v>
      </c>
      <c r="J58" s="2" t="s">
        <v>73</v>
      </c>
      <c r="K58" s="2" t="s">
        <v>215</v>
      </c>
      <c r="L58" s="2" t="s">
        <v>57</v>
      </c>
    </row>
    <row r="59" spans="1:12" x14ac:dyDescent="0.6">
      <c r="A59" s="2" t="s">
        <v>216</v>
      </c>
      <c r="B59" s="2" t="s">
        <v>217</v>
      </c>
      <c r="C59" s="2" t="s">
        <v>60</v>
      </c>
      <c r="D59" s="2" t="s">
        <v>15</v>
      </c>
      <c r="E59" s="7">
        <v>12</v>
      </c>
      <c r="F59" s="7">
        <v>376.46</v>
      </c>
      <c r="G59" s="7">
        <v>4065.77</v>
      </c>
      <c r="H59" s="7">
        <v>10</v>
      </c>
      <c r="I59" s="2" t="s">
        <v>24</v>
      </c>
      <c r="J59" s="2" t="s">
        <v>30</v>
      </c>
      <c r="K59" s="2" t="s">
        <v>218</v>
      </c>
      <c r="L59" s="2" t="s">
        <v>32</v>
      </c>
    </row>
    <row r="60" spans="1:12" x14ac:dyDescent="0.6">
      <c r="A60" s="2" t="s">
        <v>219</v>
      </c>
      <c r="B60" s="2" t="s">
        <v>220</v>
      </c>
      <c r="C60" s="2" t="s">
        <v>22</v>
      </c>
      <c r="D60" s="2" t="s">
        <v>23</v>
      </c>
      <c r="E60" s="7">
        <v>40</v>
      </c>
      <c r="F60" s="7">
        <v>35.840000000000003</v>
      </c>
      <c r="G60" s="7">
        <v>1433.6</v>
      </c>
      <c r="H60" s="7">
        <v>0</v>
      </c>
      <c r="I60" s="2" t="s">
        <v>16</v>
      </c>
      <c r="J60" s="2" t="s">
        <v>137</v>
      </c>
      <c r="K60" s="2" t="s">
        <v>221</v>
      </c>
      <c r="L60" s="2" t="s">
        <v>32</v>
      </c>
    </row>
    <row r="61" spans="1:12" x14ac:dyDescent="0.6">
      <c r="A61" s="2" t="s">
        <v>222</v>
      </c>
      <c r="B61" s="2" t="s">
        <v>223</v>
      </c>
      <c r="C61" s="2" t="s">
        <v>48</v>
      </c>
      <c r="D61" s="2" t="s">
        <v>23</v>
      </c>
      <c r="E61" s="7">
        <v>49</v>
      </c>
      <c r="F61" s="7">
        <v>26.22</v>
      </c>
      <c r="G61" s="7">
        <v>1284.78</v>
      </c>
      <c r="H61" s="7">
        <v>0</v>
      </c>
      <c r="I61" s="2" t="s">
        <v>16</v>
      </c>
      <c r="J61" s="2" t="s">
        <v>55</v>
      </c>
      <c r="K61" s="2" t="s">
        <v>224</v>
      </c>
      <c r="L61" s="2" t="s">
        <v>32</v>
      </c>
    </row>
    <row r="62" spans="1:12" x14ac:dyDescent="0.6">
      <c r="A62" s="2" t="s">
        <v>225</v>
      </c>
      <c r="B62" s="2" t="s">
        <v>226</v>
      </c>
      <c r="C62" s="2" t="s">
        <v>14</v>
      </c>
      <c r="D62" s="2" t="s">
        <v>15</v>
      </c>
      <c r="E62" s="7">
        <v>46</v>
      </c>
      <c r="F62" s="7">
        <v>609.37</v>
      </c>
      <c r="G62" s="7">
        <v>28031.02</v>
      </c>
      <c r="H62" s="7">
        <v>0</v>
      </c>
      <c r="I62" s="2" t="s">
        <v>24</v>
      </c>
      <c r="J62" s="2" t="s">
        <v>67</v>
      </c>
      <c r="K62" s="2" t="s">
        <v>227</v>
      </c>
      <c r="L62" s="2" t="s">
        <v>19</v>
      </c>
    </row>
    <row r="63" spans="1:12" x14ac:dyDescent="0.6">
      <c r="A63" s="2" t="s">
        <v>228</v>
      </c>
      <c r="B63" s="2" t="s">
        <v>229</v>
      </c>
      <c r="C63" s="2" t="s">
        <v>89</v>
      </c>
      <c r="D63" s="2" t="s">
        <v>90</v>
      </c>
      <c r="E63" s="7">
        <v>23</v>
      </c>
      <c r="F63" s="7">
        <v>747.34</v>
      </c>
      <c r="G63" s="7">
        <v>13751.06</v>
      </c>
      <c r="H63" s="7">
        <v>20</v>
      </c>
      <c r="I63" s="2" t="s">
        <v>61</v>
      </c>
      <c r="J63" s="2" t="s">
        <v>107</v>
      </c>
      <c r="K63" s="2" t="s">
        <v>230</v>
      </c>
      <c r="L63" s="2" t="s">
        <v>51</v>
      </c>
    </row>
    <row r="64" spans="1:12" x14ac:dyDescent="0.6">
      <c r="A64" s="2" t="s">
        <v>231</v>
      </c>
      <c r="B64" s="2" t="s">
        <v>232</v>
      </c>
      <c r="C64" s="2" t="s">
        <v>94</v>
      </c>
      <c r="D64" s="2" t="s">
        <v>90</v>
      </c>
      <c r="E64" s="7">
        <v>25</v>
      </c>
      <c r="F64" s="7">
        <v>156.32</v>
      </c>
      <c r="G64" s="7">
        <v>3321.8</v>
      </c>
      <c r="H64" s="7">
        <v>15</v>
      </c>
      <c r="I64" s="2" t="s">
        <v>61</v>
      </c>
      <c r="J64" s="2" t="s">
        <v>81</v>
      </c>
      <c r="K64" s="2" t="s">
        <v>233</v>
      </c>
      <c r="L64" s="2" t="s">
        <v>45</v>
      </c>
    </row>
    <row r="65" spans="1:12" x14ac:dyDescent="0.6">
      <c r="A65" s="2" t="s">
        <v>234</v>
      </c>
      <c r="B65" s="2" t="s">
        <v>235</v>
      </c>
      <c r="C65" s="2" t="s">
        <v>35</v>
      </c>
      <c r="D65" s="2" t="s">
        <v>23</v>
      </c>
      <c r="E65" s="7">
        <v>7</v>
      </c>
      <c r="F65" s="7">
        <v>174.11</v>
      </c>
      <c r="G65" s="7">
        <v>1035.95</v>
      </c>
      <c r="H65" s="7">
        <v>15</v>
      </c>
      <c r="I65" s="2" t="s">
        <v>16</v>
      </c>
      <c r="J65" s="2" t="s">
        <v>120</v>
      </c>
      <c r="K65" s="2" t="s">
        <v>236</v>
      </c>
      <c r="L65" s="2" t="s">
        <v>45</v>
      </c>
    </row>
    <row r="66" spans="1:12" x14ac:dyDescent="0.6">
      <c r="A66" s="2" t="s">
        <v>237</v>
      </c>
      <c r="B66" s="2" t="s">
        <v>238</v>
      </c>
      <c r="C66" s="2" t="s">
        <v>89</v>
      </c>
      <c r="D66" s="2" t="s">
        <v>90</v>
      </c>
      <c r="E66" s="7">
        <v>18</v>
      </c>
      <c r="F66" s="7">
        <v>320.51</v>
      </c>
      <c r="G66" s="7">
        <v>5769.18</v>
      </c>
      <c r="H66" s="7">
        <v>0</v>
      </c>
      <c r="I66" s="2" t="s">
        <v>36</v>
      </c>
      <c r="J66" s="2" t="s">
        <v>239</v>
      </c>
      <c r="K66" s="2" t="s">
        <v>240</v>
      </c>
      <c r="L66" s="2" t="s">
        <v>19</v>
      </c>
    </row>
    <row r="67" spans="1:12" x14ac:dyDescent="0.6">
      <c r="A67" s="2" t="s">
        <v>241</v>
      </c>
      <c r="B67" s="2" t="s">
        <v>242</v>
      </c>
      <c r="C67" s="2" t="s">
        <v>71</v>
      </c>
      <c r="D67" s="2" t="s">
        <v>72</v>
      </c>
      <c r="E67" s="7">
        <v>11</v>
      </c>
      <c r="F67" s="7">
        <v>54.93</v>
      </c>
      <c r="G67" s="7">
        <v>574.02</v>
      </c>
      <c r="H67" s="7">
        <v>5</v>
      </c>
      <c r="I67" s="2" t="s">
        <v>24</v>
      </c>
      <c r="J67" s="2" t="s">
        <v>25</v>
      </c>
      <c r="K67" s="2" t="s">
        <v>243</v>
      </c>
      <c r="L67" s="2" t="s">
        <v>51</v>
      </c>
    </row>
    <row r="68" spans="1:12" x14ac:dyDescent="0.6">
      <c r="A68" s="2" t="s">
        <v>244</v>
      </c>
      <c r="B68" s="2" t="s">
        <v>245</v>
      </c>
      <c r="C68" s="2" t="s">
        <v>246</v>
      </c>
      <c r="D68" s="2" t="s">
        <v>72</v>
      </c>
      <c r="E68" s="7">
        <v>30</v>
      </c>
      <c r="F68" s="7">
        <v>49.83</v>
      </c>
      <c r="G68" s="7">
        <v>1494.9</v>
      </c>
      <c r="H68" s="7">
        <v>0</v>
      </c>
      <c r="I68" s="2" t="s">
        <v>16</v>
      </c>
      <c r="J68" s="2" t="s">
        <v>55</v>
      </c>
      <c r="K68" s="2" t="s">
        <v>247</v>
      </c>
      <c r="L68" s="2" t="s">
        <v>51</v>
      </c>
    </row>
    <row r="69" spans="1:12" x14ac:dyDescent="0.6">
      <c r="A69" s="2" t="s">
        <v>248</v>
      </c>
      <c r="B69" s="2" t="s">
        <v>249</v>
      </c>
      <c r="C69" s="2" t="s">
        <v>54</v>
      </c>
      <c r="D69" s="2" t="s">
        <v>15</v>
      </c>
      <c r="E69" s="7">
        <v>30</v>
      </c>
      <c r="F69" s="7">
        <v>510.99</v>
      </c>
      <c r="G69" s="7">
        <v>14563.22</v>
      </c>
      <c r="H69" s="7">
        <v>5</v>
      </c>
      <c r="I69" s="2" t="s">
        <v>16</v>
      </c>
      <c r="J69" s="2" t="s">
        <v>17</v>
      </c>
      <c r="K69" s="2" t="s">
        <v>250</v>
      </c>
      <c r="L69" s="2" t="s">
        <v>51</v>
      </c>
    </row>
    <row r="70" spans="1:12" x14ac:dyDescent="0.6">
      <c r="A70" s="2" t="s">
        <v>251</v>
      </c>
      <c r="B70" s="2" t="s">
        <v>252</v>
      </c>
      <c r="C70" s="2" t="s">
        <v>66</v>
      </c>
      <c r="D70" s="2" t="s">
        <v>15</v>
      </c>
      <c r="E70" s="7">
        <v>10</v>
      </c>
      <c r="F70" s="7">
        <v>351.49</v>
      </c>
      <c r="G70" s="7">
        <v>2811.92</v>
      </c>
      <c r="H70" s="7">
        <v>20</v>
      </c>
      <c r="I70" s="2" t="s">
        <v>36</v>
      </c>
      <c r="J70" s="2" t="s">
        <v>168</v>
      </c>
      <c r="K70" s="2" t="s">
        <v>253</v>
      </c>
      <c r="L70" s="2" t="s">
        <v>19</v>
      </c>
    </row>
    <row r="71" spans="1:12" x14ac:dyDescent="0.6">
      <c r="A71" s="2" t="s">
        <v>254</v>
      </c>
      <c r="B71" s="2" t="s">
        <v>255</v>
      </c>
      <c r="C71" s="2" t="s">
        <v>94</v>
      </c>
      <c r="D71" s="2" t="s">
        <v>90</v>
      </c>
      <c r="E71" s="7">
        <v>19</v>
      </c>
      <c r="F71" s="7">
        <v>322.45</v>
      </c>
      <c r="G71" s="7">
        <v>6126.55</v>
      </c>
      <c r="H71" s="7">
        <v>0</v>
      </c>
      <c r="I71" s="2" t="s">
        <v>16</v>
      </c>
      <c r="J71" s="2" t="s">
        <v>137</v>
      </c>
      <c r="K71" s="2" t="s">
        <v>256</v>
      </c>
      <c r="L71" s="2" t="s">
        <v>57</v>
      </c>
    </row>
    <row r="72" spans="1:12" x14ac:dyDescent="0.6">
      <c r="A72" s="2" t="s">
        <v>257</v>
      </c>
      <c r="B72" s="2" t="s">
        <v>258</v>
      </c>
      <c r="C72" s="2" t="s">
        <v>48</v>
      </c>
      <c r="D72" s="2" t="s">
        <v>23</v>
      </c>
      <c r="E72" s="7">
        <v>41</v>
      </c>
      <c r="F72" s="7">
        <v>23.59</v>
      </c>
      <c r="G72" s="7">
        <v>967.19</v>
      </c>
      <c r="H72" s="7">
        <v>0</v>
      </c>
      <c r="I72" s="2" t="s">
        <v>61</v>
      </c>
      <c r="J72" s="2" t="s">
        <v>128</v>
      </c>
      <c r="K72" s="2" t="s">
        <v>259</v>
      </c>
      <c r="L72" s="2" t="s">
        <v>51</v>
      </c>
    </row>
    <row r="73" spans="1:12" x14ac:dyDescent="0.6">
      <c r="A73" s="2" t="s">
        <v>260</v>
      </c>
      <c r="B73" s="2" t="s">
        <v>261</v>
      </c>
      <c r="C73" s="2" t="s">
        <v>29</v>
      </c>
      <c r="D73" s="2" t="s">
        <v>23</v>
      </c>
      <c r="E73" s="7">
        <v>19</v>
      </c>
      <c r="F73" s="7">
        <v>75.209999999999994</v>
      </c>
      <c r="G73" s="7">
        <v>1286.0899999999999</v>
      </c>
      <c r="H73" s="7">
        <v>10</v>
      </c>
      <c r="I73" s="2" t="s">
        <v>24</v>
      </c>
      <c r="J73" s="2" t="s">
        <v>192</v>
      </c>
      <c r="K73" s="2" t="s">
        <v>262</v>
      </c>
      <c r="L73" s="2" t="s">
        <v>57</v>
      </c>
    </row>
    <row r="74" spans="1:12" x14ac:dyDescent="0.6">
      <c r="A74" s="2" t="s">
        <v>263</v>
      </c>
      <c r="B74" s="2" t="s">
        <v>264</v>
      </c>
      <c r="C74" s="2" t="s">
        <v>29</v>
      </c>
      <c r="D74" s="2" t="s">
        <v>23</v>
      </c>
      <c r="E74" s="7">
        <v>3</v>
      </c>
      <c r="F74" s="7">
        <v>59.79</v>
      </c>
      <c r="G74" s="7">
        <v>170.4</v>
      </c>
      <c r="H74" s="7">
        <v>5</v>
      </c>
      <c r="I74" s="2" t="s">
        <v>61</v>
      </c>
      <c r="J74" s="2" t="s">
        <v>107</v>
      </c>
      <c r="K74" s="2" t="s">
        <v>265</v>
      </c>
      <c r="L74" s="2" t="s">
        <v>45</v>
      </c>
    </row>
    <row r="75" spans="1:12" x14ac:dyDescent="0.6">
      <c r="A75" s="2" t="s">
        <v>266</v>
      </c>
      <c r="B75" s="2" t="s">
        <v>267</v>
      </c>
      <c r="C75" s="2" t="s">
        <v>127</v>
      </c>
      <c r="D75" s="2" t="s">
        <v>72</v>
      </c>
      <c r="E75" s="7">
        <v>23</v>
      </c>
      <c r="F75" s="7">
        <v>27.16</v>
      </c>
      <c r="G75" s="7">
        <v>624.67999999999995</v>
      </c>
      <c r="H75" s="7">
        <v>0</v>
      </c>
      <c r="I75" s="2" t="s">
        <v>36</v>
      </c>
      <c r="J75" s="2" t="s">
        <v>37</v>
      </c>
      <c r="K75" s="2" t="s">
        <v>268</v>
      </c>
      <c r="L75" s="2" t="s">
        <v>19</v>
      </c>
    </row>
    <row r="76" spans="1:12" x14ac:dyDescent="0.6">
      <c r="A76" s="2" t="s">
        <v>269</v>
      </c>
      <c r="B76" s="2" t="s">
        <v>270</v>
      </c>
      <c r="C76" s="2" t="s">
        <v>77</v>
      </c>
      <c r="D76" s="2" t="s">
        <v>15</v>
      </c>
      <c r="E76" s="7">
        <v>31</v>
      </c>
      <c r="F76" s="7">
        <v>1194.0999999999999</v>
      </c>
      <c r="G76" s="7">
        <v>29613.68</v>
      </c>
      <c r="H76" s="7">
        <v>20</v>
      </c>
      <c r="I76" s="2" t="s">
        <v>36</v>
      </c>
      <c r="J76" s="2" t="s">
        <v>168</v>
      </c>
      <c r="K76" s="2" t="s">
        <v>271</v>
      </c>
      <c r="L76" s="2" t="s">
        <v>57</v>
      </c>
    </row>
    <row r="77" spans="1:12" x14ac:dyDescent="0.6">
      <c r="A77" s="2" t="s">
        <v>272</v>
      </c>
      <c r="B77" s="2" t="s">
        <v>273</v>
      </c>
      <c r="C77" s="2" t="s">
        <v>77</v>
      </c>
      <c r="D77" s="2" t="s">
        <v>15</v>
      </c>
      <c r="E77" s="7">
        <v>32</v>
      </c>
      <c r="F77" s="7">
        <v>840.04</v>
      </c>
      <c r="G77" s="7">
        <v>24193.15</v>
      </c>
      <c r="H77" s="7">
        <v>10</v>
      </c>
      <c r="I77" s="2" t="s">
        <v>16</v>
      </c>
      <c r="J77" s="2" t="s">
        <v>55</v>
      </c>
      <c r="K77" s="2" t="s">
        <v>274</v>
      </c>
      <c r="L77" s="2" t="s">
        <v>45</v>
      </c>
    </row>
    <row r="78" spans="1:12" x14ac:dyDescent="0.6">
      <c r="A78" s="2" t="s">
        <v>275</v>
      </c>
      <c r="B78" s="2" t="s">
        <v>276</v>
      </c>
      <c r="C78" s="2" t="s">
        <v>94</v>
      </c>
      <c r="D78" s="2" t="s">
        <v>90</v>
      </c>
      <c r="E78" s="7">
        <v>8</v>
      </c>
      <c r="F78" s="7">
        <v>429.62</v>
      </c>
      <c r="G78" s="7">
        <v>3436.96</v>
      </c>
      <c r="H78" s="7">
        <v>0</v>
      </c>
      <c r="I78" s="2" t="s">
        <v>24</v>
      </c>
      <c r="J78" s="2" t="s">
        <v>192</v>
      </c>
      <c r="K78" s="2" t="s">
        <v>277</v>
      </c>
      <c r="L78" s="2" t="s">
        <v>57</v>
      </c>
    </row>
    <row r="79" spans="1:12" x14ac:dyDescent="0.6">
      <c r="A79" s="2" t="s">
        <v>278</v>
      </c>
      <c r="B79" s="2" t="s">
        <v>279</v>
      </c>
      <c r="C79" s="2" t="s">
        <v>89</v>
      </c>
      <c r="D79" s="2" t="s">
        <v>90</v>
      </c>
      <c r="E79" s="7">
        <v>42</v>
      </c>
      <c r="F79" s="7">
        <v>576.16999999999996</v>
      </c>
      <c r="G79" s="7">
        <v>24199.14</v>
      </c>
      <c r="H79" s="7">
        <v>0</v>
      </c>
      <c r="I79" s="2" t="s">
        <v>16</v>
      </c>
      <c r="J79" s="2" t="s">
        <v>17</v>
      </c>
      <c r="K79" s="2" t="s">
        <v>280</v>
      </c>
      <c r="L79" s="2" t="s">
        <v>51</v>
      </c>
    </row>
    <row r="80" spans="1:12" x14ac:dyDescent="0.6">
      <c r="A80" s="2" t="s">
        <v>281</v>
      </c>
      <c r="B80" s="2" t="s">
        <v>282</v>
      </c>
      <c r="C80" s="2" t="s">
        <v>89</v>
      </c>
      <c r="D80" s="2" t="s">
        <v>90</v>
      </c>
      <c r="E80" s="7">
        <v>34</v>
      </c>
      <c r="F80" s="7">
        <v>750.72</v>
      </c>
      <c r="G80" s="7">
        <v>20419.580000000002</v>
      </c>
      <c r="H80" s="7">
        <v>20</v>
      </c>
      <c r="I80" s="2" t="s">
        <v>36</v>
      </c>
      <c r="J80" s="2" t="s">
        <v>114</v>
      </c>
      <c r="K80" s="2" t="s">
        <v>283</v>
      </c>
      <c r="L80" s="2" t="s">
        <v>57</v>
      </c>
    </row>
    <row r="81" spans="1:12" x14ac:dyDescent="0.6">
      <c r="A81" s="2" t="s">
        <v>284</v>
      </c>
      <c r="B81" s="2" t="s">
        <v>285</v>
      </c>
      <c r="C81" s="2" t="s">
        <v>85</v>
      </c>
      <c r="D81" s="2" t="s">
        <v>23</v>
      </c>
      <c r="E81" s="7">
        <v>7</v>
      </c>
      <c r="F81" s="7">
        <v>12.03</v>
      </c>
      <c r="G81" s="7">
        <v>75.790000000000006</v>
      </c>
      <c r="H81" s="7">
        <v>10</v>
      </c>
      <c r="I81" s="2" t="s">
        <v>61</v>
      </c>
      <c r="J81" s="2" t="s">
        <v>62</v>
      </c>
      <c r="K81" s="2" t="s">
        <v>286</v>
      </c>
      <c r="L81" s="2" t="s">
        <v>45</v>
      </c>
    </row>
    <row r="82" spans="1:12" x14ac:dyDescent="0.6">
      <c r="A82" s="2" t="s">
        <v>287</v>
      </c>
      <c r="B82" s="2" t="s">
        <v>288</v>
      </c>
      <c r="C82" s="2" t="s">
        <v>94</v>
      </c>
      <c r="D82" s="2" t="s">
        <v>90</v>
      </c>
      <c r="E82" s="7">
        <v>50</v>
      </c>
      <c r="F82" s="7">
        <v>382.59</v>
      </c>
      <c r="G82" s="7">
        <v>18173.02</v>
      </c>
      <c r="H82" s="7">
        <v>5</v>
      </c>
      <c r="I82" s="2" t="s">
        <v>16</v>
      </c>
      <c r="J82" s="2" t="s">
        <v>17</v>
      </c>
      <c r="K82" s="2" t="s">
        <v>150</v>
      </c>
      <c r="L82" s="2" t="s">
        <v>51</v>
      </c>
    </row>
    <row r="83" spans="1:12" x14ac:dyDescent="0.6">
      <c r="A83" s="2" t="s">
        <v>289</v>
      </c>
      <c r="B83" s="2" t="s">
        <v>290</v>
      </c>
      <c r="C83" s="2" t="s">
        <v>71</v>
      </c>
      <c r="D83" s="2" t="s">
        <v>72</v>
      </c>
      <c r="E83" s="7">
        <v>26</v>
      </c>
      <c r="F83" s="7">
        <v>45.21</v>
      </c>
      <c r="G83" s="7">
        <v>1175.46</v>
      </c>
      <c r="H83" s="7">
        <v>0</v>
      </c>
      <c r="I83" s="2" t="s">
        <v>61</v>
      </c>
      <c r="J83" s="2" t="s">
        <v>128</v>
      </c>
      <c r="K83" s="2" t="s">
        <v>291</v>
      </c>
      <c r="L83" s="2" t="s">
        <v>51</v>
      </c>
    </row>
    <row r="84" spans="1:12" x14ac:dyDescent="0.6">
      <c r="A84" s="2" t="s">
        <v>292</v>
      </c>
      <c r="B84" s="2" t="s">
        <v>293</v>
      </c>
      <c r="C84" s="2" t="s">
        <v>66</v>
      </c>
      <c r="D84" s="2" t="s">
        <v>15</v>
      </c>
      <c r="E84" s="7">
        <v>29</v>
      </c>
      <c r="F84" s="7">
        <v>324.7</v>
      </c>
      <c r="G84" s="7">
        <v>9416.2999999999993</v>
      </c>
      <c r="H84" s="7">
        <v>0</v>
      </c>
      <c r="I84" s="2" t="s">
        <v>24</v>
      </c>
      <c r="J84" s="2" t="s">
        <v>67</v>
      </c>
      <c r="K84" s="2" t="s">
        <v>294</v>
      </c>
      <c r="L84" s="2" t="s">
        <v>57</v>
      </c>
    </row>
    <row r="85" spans="1:12" x14ac:dyDescent="0.6">
      <c r="A85" s="2" t="s">
        <v>295</v>
      </c>
      <c r="B85" s="2" t="s">
        <v>296</v>
      </c>
      <c r="C85" s="2" t="s">
        <v>89</v>
      </c>
      <c r="D85" s="2" t="s">
        <v>90</v>
      </c>
      <c r="E85" s="7">
        <v>39</v>
      </c>
      <c r="F85" s="7">
        <v>320.26</v>
      </c>
      <c r="G85" s="7">
        <v>11865.63</v>
      </c>
      <c r="H85" s="7">
        <v>5</v>
      </c>
      <c r="I85" s="2" t="s">
        <v>16</v>
      </c>
      <c r="J85" s="2" t="s">
        <v>120</v>
      </c>
      <c r="K85" s="2" t="s">
        <v>297</v>
      </c>
      <c r="L85" s="2" t="s">
        <v>32</v>
      </c>
    </row>
    <row r="86" spans="1:12" x14ac:dyDescent="0.6">
      <c r="A86" s="2" t="s">
        <v>298</v>
      </c>
      <c r="B86" s="2" t="s">
        <v>299</v>
      </c>
      <c r="C86" s="2" t="s">
        <v>29</v>
      </c>
      <c r="D86" s="2" t="s">
        <v>23</v>
      </c>
      <c r="E86" s="7">
        <v>48</v>
      </c>
      <c r="F86" s="7">
        <v>35.590000000000003</v>
      </c>
      <c r="G86" s="7">
        <v>1537.49</v>
      </c>
      <c r="H86" s="7">
        <v>10</v>
      </c>
      <c r="I86" s="2" t="s">
        <v>61</v>
      </c>
      <c r="J86" s="2" t="s">
        <v>107</v>
      </c>
      <c r="K86" s="2" t="s">
        <v>300</v>
      </c>
      <c r="L86" s="2" t="s">
        <v>51</v>
      </c>
    </row>
    <row r="87" spans="1:12" x14ac:dyDescent="0.6">
      <c r="A87" s="2" t="s">
        <v>301</v>
      </c>
      <c r="B87" s="2" t="s">
        <v>302</v>
      </c>
      <c r="C87" s="2" t="s">
        <v>89</v>
      </c>
      <c r="D87" s="2" t="s">
        <v>90</v>
      </c>
      <c r="E87" s="7">
        <v>33</v>
      </c>
      <c r="F87" s="7">
        <v>433.82</v>
      </c>
      <c r="G87" s="7">
        <v>14316.06</v>
      </c>
      <c r="H87" s="7">
        <v>0</v>
      </c>
      <c r="I87" s="2" t="s">
        <v>36</v>
      </c>
      <c r="J87" s="2" t="s">
        <v>114</v>
      </c>
      <c r="K87" s="2" t="s">
        <v>303</v>
      </c>
      <c r="L87" s="2" t="s">
        <v>32</v>
      </c>
    </row>
    <row r="88" spans="1:12" x14ac:dyDescent="0.6">
      <c r="A88" s="2" t="s">
        <v>304</v>
      </c>
      <c r="B88" s="2" t="s">
        <v>305</v>
      </c>
      <c r="C88" s="2" t="s">
        <v>60</v>
      </c>
      <c r="D88" s="2" t="s">
        <v>15</v>
      </c>
      <c r="E88" s="7">
        <v>15</v>
      </c>
      <c r="F88" s="7">
        <v>413.24</v>
      </c>
      <c r="G88" s="7">
        <v>5578.74</v>
      </c>
      <c r="H88" s="7">
        <v>10</v>
      </c>
      <c r="I88" s="2" t="s">
        <v>16</v>
      </c>
      <c r="J88" s="2" t="s">
        <v>137</v>
      </c>
      <c r="K88" s="2" t="s">
        <v>306</v>
      </c>
      <c r="L88" s="2" t="s">
        <v>32</v>
      </c>
    </row>
    <row r="89" spans="1:12" x14ac:dyDescent="0.6">
      <c r="A89" s="2" t="s">
        <v>307</v>
      </c>
      <c r="B89" s="2" t="s">
        <v>308</v>
      </c>
      <c r="C89" s="2" t="s">
        <v>89</v>
      </c>
      <c r="D89" s="2" t="s">
        <v>90</v>
      </c>
      <c r="E89" s="7">
        <v>28</v>
      </c>
      <c r="F89" s="7">
        <v>620.54999999999995</v>
      </c>
      <c r="G89" s="7">
        <v>17375.400000000001</v>
      </c>
      <c r="H89" s="7">
        <v>0</v>
      </c>
      <c r="I89" s="2" t="s">
        <v>16</v>
      </c>
      <c r="J89" s="2" t="s">
        <v>49</v>
      </c>
      <c r="K89" s="2" t="s">
        <v>309</v>
      </c>
      <c r="L89" s="2" t="s">
        <v>32</v>
      </c>
    </row>
    <row r="90" spans="1:12" x14ac:dyDescent="0.6">
      <c r="A90" s="2" t="s">
        <v>310</v>
      </c>
      <c r="B90" s="2" t="s">
        <v>311</v>
      </c>
      <c r="C90" s="2" t="s">
        <v>89</v>
      </c>
      <c r="D90" s="2" t="s">
        <v>90</v>
      </c>
      <c r="E90" s="7">
        <v>35</v>
      </c>
      <c r="F90" s="7">
        <v>615.32000000000005</v>
      </c>
      <c r="G90" s="7">
        <v>20459.39</v>
      </c>
      <c r="H90" s="7">
        <v>5</v>
      </c>
      <c r="I90" s="2" t="s">
        <v>16</v>
      </c>
      <c r="J90" s="2" t="s">
        <v>49</v>
      </c>
      <c r="K90" s="2" t="s">
        <v>312</v>
      </c>
      <c r="L90" s="2" t="s">
        <v>19</v>
      </c>
    </row>
    <row r="91" spans="1:12" x14ac:dyDescent="0.6">
      <c r="A91" s="2" t="s">
        <v>313</v>
      </c>
      <c r="B91" s="2" t="s">
        <v>314</v>
      </c>
      <c r="C91" s="2" t="s">
        <v>60</v>
      </c>
      <c r="D91" s="2" t="s">
        <v>15</v>
      </c>
      <c r="E91" s="7">
        <v>17</v>
      </c>
      <c r="F91" s="7">
        <v>462.07</v>
      </c>
      <c r="G91" s="7">
        <v>7855.19</v>
      </c>
      <c r="H91" s="7">
        <v>0</v>
      </c>
      <c r="I91" s="2" t="s">
        <v>61</v>
      </c>
      <c r="J91" s="2" t="s">
        <v>128</v>
      </c>
      <c r="K91" s="2" t="s">
        <v>315</v>
      </c>
      <c r="L91" s="2" t="s">
        <v>51</v>
      </c>
    </row>
    <row r="92" spans="1:12" x14ac:dyDescent="0.6">
      <c r="A92" s="2" t="s">
        <v>316</v>
      </c>
      <c r="B92" s="2" t="s">
        <v>317</v>
      </c>
      <c r="C92" s="2" t="s">
        <v>94</v>
      </c>
      <c r="D92" s="2" t="s">
        <v>90</v>
      </c>
      <c r="E92" s="7">
        <v>18</v>
      </c>
      <c r="F92" s="7">
        <v>418.51</v>
      </c>
      <c r="G92" s="7">
        <v>7533.18</v>
      </c>
      <c r="H92" s="7">
        <v>0</v>
      </c>
      <c r="I92" s="2" t="s">
        <v>24</v>
      </c>
      <c r="J92" s="2" t="s">
        <v>30</v>
      </c>
      <c r="K92" s="2" t="s">
        <v>318</v>
      </c>
      <c r="L92" s="2" t="s">
        <v>51</v>
      </c>
    </row>
    <row r="93" spans="1:12" x14ac:dyDescent="0.6">
      <c r="A93" s="2" t="s">
        <v>319</v>
      </c>
      <c r="B93" s="2" t="s">
        <v>320</v>
      </c>
      <c r="C93" s="2" t="s">
        <v>85</v>
      </c>
      <c r="D93" s="2" t="s">
        <v>23</v>
      </c>
      <c r="E93" s="7">
        <v>42</v>
      </c>
      <c r="F93" s="7">
        <v>26.78</v>
      </c>
      <c r="G93" s="7">
        <v>1068.52</v>
      </c>
      <c r="H93" s="7">
        <v>5</v>
      </c>
      <c r="I93" s="2" t="s">
        <v>24</v>
      </c>
      <c r="J93" s="2" t="s">
        <v>30</v>
      </c>
      <c r="K93" s="2" t="s">
        <v>240</v>
      </c>
      <c r="L93" s="2" t="s">
        <v>57</v>
      </c>
    </row>
    <row r="94" spans="1:12" x14ac:dyDescent="0.6">
      <c r="A94" s="2" t="s">
        <v>321</v>
      </c>
      <c r="B94" s="2" t="s">
        <v>322</v>
      </c>
      <c r="C94" s="2" t="s">
        <v>22</v>
      </c>
      <c r="D94" s="2" t="s">
        <v>23</v>
      </c>
      <c r="E94" s="7">
        <v>9</v>
      </c>
      <c r="F94" s="7">
        <v>20.27</v>
      </c>
      <c r="G94" s="7">
        <v>164.19</v>
      </c>
      <c r="H94" s="7">
        <v>10</v>
      </c>
      <c r="I94" s="2" t="s">
        <v>36</v>
      </c>
      <c r="J94" s="2" t="s">
        <v>41</v>
      </c>
      <c r="K94" s="2" t="s">
        <v>323</v>
      </c>
      <c r="L94" s="2" t="s">
        <v>19</v>
      </c>
    </row>
    <row r="95" spans="1:12" x14ac:dyDescent="0.6">
      <c r="A95" s="2" t="s">
        <v>324</v>
      </c>
      <c r="B95" s="2" t="s">
        <v>325</v>
      </c>
      <c r="C95" s="2" t="s">
        <v>127</v>
      </c>
      <c r="D95" s="2" t="s">
        <v>72</v>
      </c>
      <c r="E95" s="7">
        <v>40</v>
      </c>
      <c r="F95" s="7">
        <v>47.62</v>
      </c>
      <c r="G95" s="7">
        <v>1523.84</v>
      </c>
      <c r="H95" s="7">
        <v>20</v>
      </c>
      <c r="I95" s="2" t="s">
        <v>36</v>
      </c>
      <c r="J95" s="2" t="s">
        <v>41</v>
      </c>
      <c r="K95" s="2" t="s">
        <v>326</v>
      </c>
      <c r="L95" s="2" t="s">
        <v>19</v>
      </c>
    </row>
    <row r="96" spans="1:12" x14ac:dyDescent="0.6">
      <c r="A96" s="2" t="s">
        <v>327</v>
      </c>
      <c r="B96" s="2" t="s">
        <v>328</v>
      </c>
      <c r="C96" s="2" t="s">
        <v>77</v>
      </c>
      <c r="D96" s="2" t="s">
        <v>15</v>
      </c>
      <c r="E96" s="7">
        <v>10</v>
      </c>
      <c r="F96" s="7">
        <v>1117.1199999999999</v>
      </c>
      <c r="G96" s="7">
        <v>10054.08</v>
      </c>
      <c r="H96" s="7">
        <v>10</v>
      </c>
      <c r="I96" s="2" t="s">
        <v>61</v>
      </c>
      <c r="J96" s="2" t="s">
        <v>81</v>
      </c>
      <c r="K96" s="2" t="s">
        <v>329</v>
      </c>
      <c r="L96" s="2" t="s">
        <v>32</v>
      </c>
    </row>
    <row r="97" spans="1:12" x14ac:dyDescent="0.6">
      <c r="A97" s="2" t="s">
        <v>330</v>
      </c>
      <c r="B97" s="2" t="s">
        <v>331</v>
      </c>
      <c r="C97" s="2" t="s">
        <v>66</v>
      </c>
      <c r="D97" s="2" t="s">
        <v>15</v>
      </c>
      <c r="E97" s="7">
        <v>23</v>
      </c>
      <c r="F97" s="7">
        <v>370.05</v>
      </c>
      <c r="G97" s="7">
        <v>7660.04</v>
      </c>
      <c r="H97" s="7">
        <v>10</v>
      </c>
      <c r="I97" s="2" t="s">
        <v>61</v>
      </c>
      <c r="J97" s="2" t="s">
        <v>332</v>
      </c>
      <c r="K97" s="2" t="s">
        <v>333</v>
      </c>
      <c r="L97" s="2" t="s">
        <v>51</v>
      </c>
    </row>
    <row r="98" spans="1:12" x14ac:dyDescent="0.6">
      <c r="A98" s="2" t="s">
        <v>334</v>
      </c>
      <c r="B98" s="2" t="s">
        <v>335</v>
      </c>
      <c r="C98" s="2" t="s">
        <v>22</v>
      </c>
      <c r="D98" s="2" t="s">
        <v>23</v>
      </c>
      <c r="E98" s="7">
        <v>23</v>
      </c>
      <c r="F98" s="7">
        <v>22.56</v>
      </c>
      <c r="G98" s="7">
        <v>492.94</v>
      </c>
      <c r="H98" s="7">
        <v>5</v>
      </c>
      <c r="I98" s="2" t="s">
        <v>61</v>
      </c>
      <c r="J98" s="2" t="s">
        <v>107</v>
      </c>
      <c r="K98" s="2" t="s">
        <v>336</v>
      </c>
      <c r="L98" s="2" t="s">
        <v>57</v>
      </c>
    </row>
    <row r="99" spans="1:12" x14ac:dyDescent="0.6">
      <c r="A99" s="2" t="s">
        <v>337</v>
      </c>
      <c r="B99" s="2" t="s">
        <v>338</v>
      </c>
      <c r="C99" s="2" t="s">
        <v>54</v>
      </c>
      <c r="D99" s="2" t="s">
        <v>15</v>
      </c>
      <c r="E99" s="7">
        <v>5</v>
      </c>
      <c r="F99" s="7">
        <v>429.44</v>
      </c>
      <c r="G99" s="7">
        <v>2147.1999999999998</v>
      </c>
      <c r="H99" s="7">
        <v>0</v>
      </c>
      <c r="I99" s="2" t="s">
        <v>61</v>
      </c>
      <c r="J99" s="2" t="s">
        <v>62</v>
      </c>
      <c r="K99" s="2" t="s">
        <v>339</v>
      </c>
      <c r="L99" s="2" t="s">
        <v>19</v>
      </c>
    </row>
    <row r="100" spans="1:12" x14ac:dyDescent="0.6">
      <c r="A100" s="2" t="s">
        <v>340</v>
      </c>
      <c r="B100" s="2" t="s">
        <v>341</v>
      </c>
      <c r="C100" s="2" t="s">
        <v>127</v>
      </c>
      <c r="D100" s="2" t="s">
        <v>72</v>
      </c>
      <c r="E100" s="7">
        <v>22</v>
      </c>
      <c r="F100" s="7">
        <v>26.84</v>
      </c>
      <c r="G100" s="7">
        <v>590.48</v>
      </c>
      <c r="H100" s="7">
        <v>0</v>
      </c>
      <c r="I100" s="2" t="s">
        <v>16</v>
      </c>
      <c r="J100" s="2" t="s">
        <v>55</v>
      </c>
      <c r="K100" s="2" t="s">
        <v>342</v>
      </c>
      <c r="L100" s="2" t="s">
        <v>32</v>
      </c>
    </row>
    <row r="101" spans="1:12" x14ac:dyDescent="0.6">
      <c r="A101" s="2" t="s">
        <v>343</v>
      </c>
      <c r="B101" s="2" t="s">
        <v>344</v>
      </c>
      <c r="C101" s="2" t="s">
        <v>85</v>
      </c>
      <c r="D101" s="2" t="s">
        <v>23</v>
      </c>
      <c r="E101" s="7">
        <v>8</v>
      </c>
      <c r="F101" s="7">
        <v>29.49</v>
      </c>
      <c r="G101" s="7">
        <v>188.74</v>
      </c>
      <c r="H101" s="7">
        <v>20</v>
      </c>
      <c r="I101" s="2" t="s">
        <v>24</v>
      </c>
      <c r="J101" s="2" t="s">
        <v>73</v>
      </c>
      <c r="K101" s="2" t="s">
        <v>345</v>
      </c>
      <c r="L101" s="2" t="s">
        <v>51</v>
      </c>
    </row>
    <row r="102" spans="1:12" x14ac:dyDescent="0.6">
      <c r="A102" s="2" t="s">
        <v>346</v>
      </c>
      <c r="B102" s="2" t="s">
        <v>347</v>
      </c>
      <c r="C102" s="2" t="s">
        <v>29</v>
      </c>
      <c r="D102" s="2" t="s">
        <v>23</v>
      </c>
      <c r="E102" s="7">
        <v>33</v>
      </c>
      <c r="F102" s="7">
        <v>61.75</v>
      </c>
      <c r="G102" s="7">
        <v>2037.75</v>
      </c>
      <c r="H102" s="7">
        <v>0</v>
      </c>
      <c r="I102" s="2" t="s">
        <v>16</v>
      </c>
      <c r="J102" s="2" t="s">
        <v>49</v>
      </c>
      <c r="K102" s="2" t="s">
        <v>280</v>
      </c>
      <c r="L102" s="2" t="s">
        <v>45</v>
      </c>
    </row>
    <row r="103" spans="1:12" x14ac:dyDescent="0.6">
      <c r="A103" s="2" t="s">
        <v>348</v>
      </c>
      <c r="B103" s="2" t="s">
        <v>349</v>
      </c>
      <c r="C103" s="2" t="s">
        <v>77</v>
      </c>
      <c r="D103" s="2" t="s">
        <v>15</v>
      </c>
      <c r="E103" s="7">
        <v>5</v>
      </c>
      <c r="F103" s="7">
        <v>931.44</v>
      </c>
      <c r="G103" s="7">
        <v>4424.34</v>
      </c>
      <c r="H103" s="7">
        <v>5</v>
      </c>
      <c r="I103" s="2" t="s">
        <v>16</v>
      </c>
      <c r="J103" s="2" t="s">
        <v>49</v>
      </c>
      <c r="K103" s="2" t="s">
        <v>350</v>
      </c>
      <c r="L103" s="2" t="s">
        <v>45</v>
      </c>
    </row>
  </sheetData>
  <pageMargins left="0.7" right="0.7" top="0.75" bottom="0.75" header="0.3" footer="0.3"/>
  <ignoredErrors>
    <ignoredError sqref="A3:L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Mufeeza Iqbal</dc:creator>
  <cp:lastModifiedBy>Mufeeza Iqbal</cp:lastModifiedBy>
  <dcterms:created xsi:type="dcterms:W3CDTF">2026-04-02T10:55:40Z</dcterms:created>
  <dcterms:modified xsi:type="dcterms:W3CDTF">2026-04-12T16:35:14Z</dcterms:modified>
</cp:coreProperties>
</file>